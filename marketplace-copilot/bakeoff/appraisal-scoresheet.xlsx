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ettings" sheetId="2" state="visible" r:id="rId2"/>
    <sheet name="Bake-off Log" sheetId="3" state="visible" r:id="rId3"/>
    <sheet name="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"/>
    <numFmt numFmtId="166" formatCode="&quot;$&quot;#,##0"/>
    <numFmt numFmtId="167" formatCode="&quot;$&quot;#,##0;(&quot;$&quot;#,##0);-"/>
    <numFmt numFmtId="168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FF"/>
      <sz val="10"/>
    </font>
    <font>
      <name val="Arial"/>
      <color rgb="00595959"/>
      <sz val="9"/>
    </font>
    <font>
      <name val="Arial"/>
      <i val="1"/>
      <color rgb="00C00000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i val="1"/>
      <color rgb="00595959"/>
      <sz val="9"/>
    </font>
    <font>
      <name val="Arial"/>
      <b val="1"/>
      <color rgb="001F3864"/>
      <sz val="16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10" fontId="5" fillId="3" borderId="1" pivotButton="0" quotePrefix="0" xfId="0"/>
    <xf numFmtId="0" fontId="6" fillId="0" borderId="0" pivotButton="0" quotePrefix="0" xfId="0"/>
    <xf numFmtId="164" fontId="5" fillId="3" borderId="1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8" fillId="4" borderId="1" pivotButton="0" quotePrefix="0" xfId="0"/>
    <xf numFmtId="0" fontId="8" fillId="4" borderId="1" pivotButton="0" quotePrefix="0" xfId="0"/>
    <xf numFmtId="166" fontId="8" fillId="4" borderId="1" pivotButton="0" quotePrefix="0" xfId="0"/>
    <xf numFmtId="167" fontId="9" fillId="4" borderId="1" pivotButton="0" quotePrefix="0" xfId="0"/>
    <xf numFmtId="168" fontId="9" fillId="4" borderId="1" pivotButton="0" quotePrefix="0" xfId="0"/>
    <xf numFmtId="0" fontId="9" fillId="4" borderId="1" pivotButton="0" quotePrefix="0" xfId="0"/>
    <xf numFmtId="165" fontId="8" fillId="3" borderId="1" pivotButton="0" quotePrefix="0" xfId="0"/>
    <xf numFmtId="0" fontId="8" fillId="3" borderId="1" pivotButton="0" quotePrefix="0" xfId="0"/>
    <xf numFmtId="166" fontId="8" fillId="3" borderId="1" pivotButton="0" quotePrefix="0" xfId="0"/>
    <xf numFmtId="167" fontId="9" fillId="0" borderId="1" pivotButton="0" quotePrefix="0" xfId="0"/>
    <xf numFmtId="168" fontId="9" fillId="0" borderId="1" pivotButton="0" quotePrefix="0" xfId="0"/>
    <xf numFmtId="0" fontId="9" fillId="0" borderId="1" pivotButton="0" quotePrefix="0" xfId="0"/>
    <xf numFmtId="0" fontId="10" fillId="5" borderId="1" pivotButton="0" quotePrefix="0" xfId="0"/>
    <xf numFmtId="0" fontId="0" fillId="5" borderId="1" pivotButton="0" quotePrefix="0" xfId="0"/>
    <xf numFmtId="0" fontId="4" fillId="0" borderId="1" pivotButton="0" quotePrefix="0" xfId="0"/>
    <xf numFmtId="1" fontId="11" fillId="0" borderId="1" pivotButton="0" quotePrefix="0" xfId="0"/>
    <xf numFmtId="168" fontId="11" fillId="0" borderId="1" pivotButton="0" quotePrefix="0" xfId="0"/>
    <xf numFmtId="167" fontId="11" fillId="0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How to run the bake-off</t>
        </is>
      </c>
    </row>
    <row r="4" ht="32" customHeight="1">
      <c r="A4" s="2" t="inlineStr">
        <is>
          <t>The point</t>
        </is>
      </c>
      <c r="B4" s="3" t="inlineStr">
        <is>
          <t>Two tools guessing at a price tell you which one sounds more confident. Only the price an item actually sells for tells you which one was right. This sheet tracks both guesses against reality.</t>
        </is>
      </c>
    </row>
    <row r="6" ht="32" customHeight="1">
      <c r="A6" s="2" t="inlineStr">
        <is>
          <t>1. Set your costs</t>
        </is>
      </c>
      <c r="B6" s="3" t="inlineStr">
        <is>
          <t>Open the Settings tab and put in your real fees, shipping, and pickup cost. Takes two minutes and everything else depends on it.</t>
        </is>
      </c>
    </row>
    <row r="7" ht="32" customHeight="1">
      <c r="A7" s="2" t="inlineStr">
        <is>
          <t>2. Pick a rival</t>
        </is>
      </c>
      <c r="B7" s="3" t="inlineStr">
        <is>
          <t>Sign up for a free tier of one competitor — Underpriced.App gives you 10 free analyses, which is enough to start.</t>
        </is>
      </c>
    </row>
    <row r="8" ht="32" customHeight="1">
      <c r="A8" s="2" t="inlineStr">
        <is>
          <t>3. Appraise twice</t>
        </is>
      </c>
      <c r="B8" s="3" t="inlineStr">
        <is>
          <t>When you find a listing worth considering, run it through both tools before you decide anything. Log both answers in the Bake-off Log.</t>
        </is>
      </c>
    </row>
    <row r="9" ht="32" customHeight="1">
      <c r="A9" s="2" t="inlineStr">
        <is>
          <t>4. Log it even when you walk</t>
        </is>
      </c>
      <c r="B9" s="3" t="inlineStr">
        <is>
          <t>Rows where you didn't buy are still worth recording — they show you which tool talks you out of things.</t>
        </is>
      </c>
    </row>
    <row r="10" ht="32" customHeight="1">
      <c r="A10" s="2" t="inlineStr">
        <is>
          <t>5. Fill in reality later</t>
        </is>
      </c>
      <c r="B10" s="3" t="inlineStr">
        <is>
          <t>When something you bought finally sells, come back and enter what it sold for. That's the moment the row becomes worth having.</t>
        </is>
      </c>
    </row>
    <row r="11" ht="32" customHeight="1">
      <c r="A11" s="2" t="inlineStr">
        <is>
          <t>6. Read the Scorecard</t>
        </is>
      </c>
      <c r="B11" s="3" t="inlineStr">
        <is>
          <t>It updates itself. Check it once you have about ten sold items.</t>
        </is>
      </c>
    </row>
    <row r="13" ht="32" customHeight="1">
      <c r="A13" s="2" t="inlineStr">
        <is>
          <t>What to watch for</t>
        </is>
      </c>
      <c r="B13" s="3" t="inlineStr">
        <is>
          <t>A tool being consistently HIGH is the dangerous failure — it makes bad buys look good. Consistently low just means missed opportunities, which is cheaper.</t>
        </is>
      </c>
    </row>
    <row r="15" ht="32" customHeight="1">
      <c r="A15" s="2" t="inlineStr">
        <is>
          <t>Yellow cells</t>
        </is>
      </c>
      <c r="B15" s="3" t="inlineStr">
        <is>
          <t>Anything yellow is yours to type in. White cells with numbers work themselves out — don't overwrite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5" customWidth="1" min="3" max="3"/>
  </cols>
  <sheetData>
    <row r="1">
      <c r="A1" s="4" t="inlineStr">
        <is>
          <t>Your Costs</t>
        </is>
      </c>
    </row>
    <row r="2">
      <c r="A2" s="5" t="inlineStr">
        <is>
          <t>Type your real numbers in the yellow cells. Everything on the Log and Scorecard tabs uses them.</t>
        </is>
      </c>
    </row>
    <row r="4">
      <c r="A4" s="6" t="inlineStr">
        <is>
          <t>Item</t>
        </is>
      </c>
      <c r="B4" s="6" t="inlineStr">
        <is>
          <t>Value</t>
        </is>
      </c>
      <c r="C4" s="6" t="inlineStr">
        <is>
          <t>What it means</t>
        </is>
      </c>
    </row>
    <row r="5">
      <c r="A5" s="7" t="inlineStr">
        <is>
          <t>Resale platform fee</t>
        </is>
      </c>
      <c r="B5" s="8" t="n">
        <v>0.1335</v>
      </c>
      <c r="C5" s="9" t="inlineStr">
        <is>
          <t>Percent of the sale price the platform takes. eBay is roughly 13.35% in most categories; check your own.</t>
        </is>
      </c>
    </row>
    <row r="6">
      <c r="A6" s="7" t="inlineStr">
        <is>
          <t>Platform fixed fee</t>
        </is>
      </c>
      <c r="B6" s="10" t="n">
        <v>0.4</v>
      </c>
      <c r="C6" s="9" t="inlineStr">
        <is>
          <t>Flat per-order fee.</t>
        </is>
      </c>
    </row>
    <row r="7">
      <c r="A7" s="7" t="inlineStr">
        <is>
          <t>Shipping cost</t>
        </is>
      </c>
      <c r="B7" s="10" t="n">
        <v>14</v>
      </c>
      <c r="C7" s="9" t="inlineStr">
        <is>
          <t>What you actually pay to ship one item. Enter 0 if you resell locally.</t>
        </is>
      </c>
    </row>
    <row r="8">
      <c r="A8" s="7" t="inlineStr">
        <is>
          <t>Packaging cost</t>
        </is>
      </c>
      <c r="B8" s="10" t="n">
        <v>3</v>
      </c>
      <c r="C8" s="9" t="inlineStr">
        <is>
          <t>Box, tape, label, filler.</t>
        </is>
      </c>
    </row>
    <row r="9">
      <c r="A9" s="7" t="inlineStr">
        <is>
          <t>Pickup cost</t>
        </is>
      </c>
      <c r="B9" s="10" t="n">
        <v>12</v>
      </c>
      <c r="C9" s="9" t="inlineStr">
        <is>
          <t>Round trip: gas, tolls, and your time.</t>
        </is>
      </c>
    </row>
    <row r="12">
      <c r="A12" s="11" t="inlineStr">
        <is>
          <t>Defaults shown are generic starting points, not researched figures for your business. Replace them.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15" customWidth="1" min="5" max="5"/>
    <col width="15" customWidth="1" min="6" max="6"/>
    <col width="15" customWidth="1" min="7" max="7"/>
    <col width="16" customWidth="1" min="8" max="8"/>
    <col width="15" customWidth="1" min="9" max="9"/>
    <col width="16" customWidth="1" min="10" max="10"/>
    <col width="11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5" customWidth="1" min="17" max="17"/>
    <col width="40" customWidth="1" min="18" max="18"/>
  </cols>
  <sheetData>
    <row r="1">
      <c r="A1" s="4" t="inlineStr">
        <is>
          <t>Appraisal Bake-off Log</t>
        </is>
      </c>
    </row>
    <row r="2">
      <c r="A2" s="5" t="inlineStr">
        <is>
          <t>One row per listing. Fill the yellow columns as you go — you won't know the last two until the item actually sells. Grey row 5 is an example; delete it when you start.</t>
        </is>
      </c>
    </row>
    <row r="4" ht="30" customHeight="1">
      <c r="A4" s="12" t="inlineStr">
        <is>
          <t>Date</t>
        </is>
      </c>
      <c r="B4" s="12" t="inlineStr">
        <is>
          <t>Item</t>
        </is>
      </c>
      <c r="C4" s="12" t="inlineStr">
        <is>
          <t>Listing link</t>
        </is>
      </c>
      <c r="D4" s="12" t="inlineStr">
        <is>
          <t>Asking price</t>
        </is>
      </c>
      <c r="E4" s="12" t="inlineStr">
        <is>
          <t>COPILOT resale est.</t>
        </is>
      </c>
      <c r="F4" s="12" t="inlineStr">
        <is>
          <t>COPILOT walk-away</t>
        </is>
      </c>
      <c r="G4" s="12" t="inlineStr">
        <is>
          <t>COPILOT verdict</t>
        </is>
      </c>
      <c r="H4" s="12" t="inlineStr">
        <is>
          <t>OTHER tool name</t>
        </is>
      </c>
      <c r="I4" s="12" t="inlineStr">
        <is>
          <t>OTHER resale est.</t>
        </is>
      </c>
      <c r="J4" s="12" t="inlineStr">
        <is>
          <t>OTHER verdict / score</t>
        </is>
      </c>
      <c r="K4" s="12" t="inlineStr">
        <is>
          <t>Bought it?</t>
        </is>
      </c>
      <c r="L4" s="12" t="inlineStr">
        <is>
          <t>What you paid</t>
        </is>
      </c>
      <c r="M4" s="12" t="inlineStr">
        <is>
          <t>What it SOLD for</t>
        </is>
      </c>
      <c r="N4" s="12" t="inlineStr">
        <is>
          <t>Actual profit</t>
        </is>
      </c>
      <c r="O4" s="12" t="inlineStr">
        <is>
          <t>Copilot error</t>
        </is>
      </c>
      <c r="P4" s="12" t="inlineStr">
        <is>
          <t>Other error</t>
        </is>
      </c>
      <c r="Q4" s="12" t="inlineStr">
        <is>
          <t>Who was closer</t>
        </is>
      </c>
      <c r="R4" s="12" t="inlineStr">
        <is>
          <t>Notes</t>
        </is>
      </c>
    </row>
    <row r="5">
      <c r="A5" s="13" t="inlineStr">
        <is>
          <t>2026-08-14</t>
        </is>
      </c>
      <c r="B5" s="14" t="inlineStr">
        <is>
          <t>MacBook Pro 14 M2 Pro 512GB</t>
        </is>
      </c>
      <c r="C5" s="14" t="inlineStr">
        <is>
          <t>fb.com/marketplace/item/123</t>
        </is>
      </c>
      <c r="D5" s="15" t="n">
        <v>700</v>
      </c>
      <c r="E5" s="15" t="n">
        <v>1050</v>
      </c>
      <c r="F5" s="15" t="n">
        <v>612</v>
      </c>
      <c r="G5" s="14" t="inlineStr">
        <is>
          <t>pass</t>
        </is>
      </c>
      <c r="H5" s="14" t="inlineStr">
        <is>
          <t>Underpriced.App</t>
        </is>
      </c>
      <c r="I5" s="15" t="n">
        <v>980</v>
      </c>
      <c r="J5" s="14" t="inlineStr">
        <is>
          <t>Good deal</t>
        </is>
      </c>
      <c r="K5" s="14" t="inlineStr">
        <is>
          <t>N</t>
        </is>
      </c>
      <c r="L5" s="15" t="n"/>
      <c r="M5" s="15" t="n"/>
      <c r="N5" s="16">
        <f>IF(OR($L5="",$M5=""),"",$M5-($M5*Settings!$B$5)-Settings!$B$6-Settings!$B$7-Settings!$B$8-$L5-Settings!$B$9)</f>
        <v/>
      </c>
      <c r="O5" s="17">
        <f>IF(OR($E5="",$M5="",$M5=0),"",ABS($E5-$M5)/$M5)</f>
        <v/>
      </c>
      <c r="P5" s="17">
        <f>IF(OR($I5="",$M5="",$M5=0),"",ABS($I5-$M5)/$M5)</f>
        <v/>
      </c>
      <c r="Q5" s="18">
        <f>IF(OR($O5="",$P5=""),"",IF($O5&lt;$P5,"Copilot",IF($P5&lt;$O5,"Other","Tie")))</f>
        <v/>
      </c>
      <c r="R5" s="14" t="inlineStr">
        <is>
          <t>Passed — their number was rosier than mine, no way to know who was right without buying.</t>
        </is>
      </c>
      <c r="S5" s="11" t="inlineStr">
        <is>
          <t>&lt;- example row, delete it</t>
        </is>
      </c>
    </row>
    <row r="6">
      <c r="A6" s="19" t="n"/>
      <c r="B6" s="20" t="n"/>
      <c r="C6" s="20" t="n"/>
      <c r="D6" s="21" t="n"/>
      <c r="E6" s="21" t="n"/>
      <c r="F6" s="21" t="n"/>
      <c r="G6" s="20" t="n"/>
      <c r="H6" s="20" t="n"/>
      <c r="I6" s="21" t="n"/>
      <c r="J6" s="20" t="n"/>
      <c r="K6" s="20" t="n"/>
      <c r="L6" s="21" t="n"/>
      <c r="M6" s="21" t="n"/>
      <c r="N6" s="22">
        <f>IF(OR($L6="",$M6=""),"",$M6-($M6*Settings!$B$5)-Settings!$B$6-Settings!$B$7-Settings!$B$8-$L6-Settings!$B$9)</f>
        <v/>
      </c>
      <c r="O6" s="23">
        <f>IF(OR($E6="",$M6="",$M6=0),"",ABS($E6-$M6)/$M6)</f>
        <v/>
      </c>
      <c r="P6" s="23">
        <f>IF(OR($I6="",$M6="",$M6=0),"",ABS($I6-$M6)/$M6)</f>
        <v/>
      </c>
      <c r="Q6" s="24">
        <f>IF(OR($O6="",$P6=""),"",IF($O6&lt;$P6,"Copilot",IF($P6&lt;$O6,"Other","Tie")))</f>
        <v/>
      </c>
      <c r="R6" s="20" t="n"/>
    </row>
    <row r="7">
      <c r="A7" s="19" t="n"/>
      <c r="B7" s="20" t="n"/>
      <c r="C7" s="20" t="n"/>
      <c r="D7" s="21" t="n"/>
      <c r="E7" s="21" t="n"/>
      <c r="F7" s="21" t="n"/>
      <c r="G7" s="20" t="n"/>
      <c r="H7" s="20" t="n"/>
      <c r="I7" s="21" t="n"/>
      <c r="J7" s="20" t="n"/>
      <c r="K7" s="20" t="n"/>
      <c r="L7" s="21" t="n"/>
      <c r="M7" s="21" t="n"/>
      <c r="N7" s="22">
        <f>IF(OR($L7="",$M7=""),"",$M7-($M7*Settings!$B$5)-Settings!$B$6-Settings!$B$7-Settings!$B$8-$L7-Settings!$B$9)</f>
        <v/>
      </c>
      <c r="O7" s="23">
        <f>IF(OR($E7="",$M7="",$M7=0),"",ABS($E7-$M7)/$M7)</f>
        <v/>
      </c>
      <c r="P7" s="23">
        <f>IF(OR($I7="",$M7="",$M7=0),"",ABS($I7-$M7)/$M7)</f>
        <v/>
      </c>
      <c r="Q7" s="24">
        <f>IF(OR($O7="",$P7=""),"",IF($O7&lt;$P7,"Copilot",IF($P7&lt;$O7,"Other","Tie")))</f>
        <v/>
      </c>
      <c r="R7" s="20" t="n"/>
    </row>
    <row r="8">
      <c r="A8" s="19" t="n"/>
      <c r="B8" s="20" t="n"/>
      <c r="C8" s="20" t="n"/>
      <c r="D8" s="21" t="n"/>
      <c r="E8" s="21" t="n"/>
      <c r="F8" s="21" t="n"/>
      <c r="G8" s="20" t="n"/>
      <c r="H8" s="20" t="n"/>
      <c r="I8" s="21" t="n"/>
      <c r="J8" s="20" t="n"/>
      <c r="K8" s="20" t="n"/>
      <c r="L8" s="21" t="n"/>
      <c r="M8" s="21" t="n"/>
      <c r="N8" s="22">
        <f>IF(OR($L8="",$M8=""),"",$M8-($M8*Settings!$B$5)-Settings!$B$6-Settings!$B$7-Settings!$B$8-$L8-Settings!$B$9)</f>
        <v/>
      </c>
      <c r="O8" s="23">
        <f>IF(OR($E8="",$M8="",$M8=0),"",ABS($E8-$M8)/$M8)</f>
        <v/>
      </c>
      <c r="P8" s="23">
        <f>IF(OR($I8="",$M8="",$M8=0),"",ABS($I8-$M8)/$M8)</f>
        <v/>
      </c>
      <c r="Q8" s="24">
        <f>IF(OR($O8="",$P8=""),"",IF($O8&lt;$P8,"Copilot",IF($P8&lt;$O8,"Other","Tie")))</f>
        <v/>
      </c>
      <c r="R8" s="20" t="n"/>
    </row>
    <row r="9">
      <c r="A9" s="19" t="n"/>
      <c r="B9" s="20" t="n"/>
      <c r="C9" s="20" t="n"/>
      <c r="D9" s="21" t="n"/>
      <c r="E9" s="21" t="n"/>
      <c r="F9" s="21" t="n"/>
      <c r="G9" s="20" t="n"/>
      <c r="H9" s="20" t="n"/>
      <c r="I9" s="21" t="n"/>
      <c r="J9" s="20" t="n"/>
      <c r="K9" s="20" t="n"/>
      <c r="L9" s="21" t="n"/>
      <c r="M9" s="21" t="n"/>
      <c r="N9" s="22">
        <f>IF(OR($L9="",$M9=""),"",$M9-($M9*Settings!$B$5)-Settings!$B$6-Settings!$B$7-Settings!$B$8-$L9-Settings!$B$9)</f>
        <v/>
      </c>
      <c r="O9" s="23">
        <f>IF(OR($E9="",$M9="",$M9=0),"",ABS($E9-$M9)/$M9)</f>
        <v/>
      </c>
      <c r="P9" s="23">
        <f>IF(OR($I9="",$M9="",$M9=0),"",ABS($I9-$M9)/$M9)</f>
        <v/>
      </c>
      <c r="Q9" s="24">
        <f>IF(OR($O9="",$P9=""),"",IF($O9&lt;$P9,"Copilot",IF($P9&lt;$O9,"Other","Tie")))</f>
        <v/>
      </c>
      <c r="R9" s="20" t="n"/>
    </row>
    <row r="10">
      <c r="A10" s="19" t="n"/>
      <c r="B10" s="20" t="n"/>
      <c r="C10" s="20" t="n"/>
      <c r="D10" s="21" t="n"/>
      <c r="E10" s="21" t="n"/>
      <c r="F10" s="21" t="n"/>
      <c r="G10" s="20" t="n"/>
      <c r="H10" s="20" t="n"/>
      <c r="I10" s="21" t="n"/>
      <c r="J10" s="20" t="n"/>
      <c r="K10" s="20" t="n"/>
      <c r="L10" s="21" t="n"/>
      <c r="M10" s="21" t="n"/>
      <c r="N10" s="22">
        <f>IF(OR($L10="",$M10=""),"",$M10-($M10*Settings!$B$5)-Settings!$B$6-Settings!$B$7-Settings!$B$8-$L10-Settings!$B$9)</f>
        <v/>
      </c>
      <c r="O10" s="23">
        <f>IF(OR($E10="",$M10="",$M10=0),"",ABS($E10-$M10)/$M10)</f>
        <v/>
      </c>
      <c r="P10" s="23">
        <f>IF(OR($I10="",$M10="",$M10=0),"",ABS($I10-$M10)/$M10)</f>
        <v/>
      </c>
      <c r="Q10" s="24">
        <f>IF(OR($O10="",$P10=""),"",IF($O10&lt;$P10,"Copilot",IF($P10&lt;$O10,"Other","Tie")))</f>
        <v/>
      </c>
      <c r="R10" s="20" t="n"/>
    </row>
    <row r="11">
      <c r="A11" s="19" t="n"/>
      <c r="B11" s="20" t="n"/>
      <c r="C11" s="20" t="n"/>
      <c r="D11" s="21" t="n"/>
      <c r="E11" s="21" t="n"/>
      <c r="F11" s="21" t="n"/>
      <c r="G11" s="20" t="n"/>
      <c r="H11" s="20" t="n"/>
      <c r="I11" s="21" t="n"/>
      <c r="J11" s="20" t="n"/>
      <c r="K11" s="20" t="n"/>
      <c r="L11" s="21" t="n"/>
      <c r="M11" s="21" t="n"/>
      <c r="N11" s="22">
        <f>IF(OR($L11="",$M11=""),"",$M11-($M11*Settings!$B$5)-Settings!$B$6-Settings!$B$7-Settings!$B$8-$L11-Settings!$B$9)</f>
        <v/>
      </c>
      <c r="O11" s="23">
        <f>IF(OR($E11="",$M11="",$M11=0),"",ABS($E11-$M11)/$M11)</f>
        <v/>
      </c>
      <c r="P11" s="23">
        <f>IF(OR($I11="",$M11="",$M11=0),"",ABS($I11-$M11)/$M11)</f>
        <v/>
      </c>
      <c r="Q11" s="24">
        <f>IF(OR($O11="",$P11=""),"",IF($O11&lt;$P11,"Copilot",IF($P11&lt;$O11,"Other","Tie")))</f>
        <v/>
      </c>
      <c r="R11" s="20" t="n"/>
    </row>
    <row r="12">
      <c r="A12" s="19" t="n"/>
      <c r="B12" s="20" t="n"/>
      <c r="C12" s="20" t="n"/>
      <c r="D12" s="21" t="n"/>
      <c r="E12" s="21" t="n"/>
      <c r="F12" s="21" t="n"/>
      <c r="G12" s="20" t="n"/>
      <c r="H12" s="20" t="n"/>
      <c r="I12" s="21" t="n"/>
      <c r="J12" s="20" t="n"/>
      <c r="K12" s="20" t="n"/>
      <c r="L12" s="21" t="n"/>
      <c r="M12" s="21" t="n"/>
      <c r="N12" s="22">
        <f>IF(OR($L12="",$M12=""),"",$M12-($M12*Settings!$B$5)-Settings!$B$6-Settings!$B$7-Settings!$B$8-$L12-Settings!$B$9)</f>
        <v/>
      </c>
      <c r="O12" s="23">
        <f>IF(OR($E12="",$M12="",$M12=0),"",ABS($E12-$M12)/$M12)</f>
        <v/>
      </c>
      <c r="P12" s="23">
        <f>IF(OR($I12="",$M12="",$M12=0),"",ABS($I12-$M12)/$M12)</f>
        <v/>
      </c>
      <c r="Q12" s="24">
        <f>IF(OR($O12="",$P12=""),"",IF($O12&lt;$P12,"Copilot",IF($P12&lt;$O12,"Other","Tie")))</f>
        <v/>
      </c>
      <c r="R12" s="20" t="n"/>
    </row>
    <row r="13">
      <c r="A13" s="19" t="n"/>
      <c r="B13" s="20" t="n"/>
      <c r="C13" s="20" t="n"/>
      <c r="D13" s="21" t="n"/>
      <c r="E13" s="21" t="n"/>
      <c r="F13" s="21" t="n"/>
      <c r="G13" s="20" t="n"/>
      <c r="H13" s="20" t="n"/>
      <c r="I13" s="21" t="n"/>
      <c r="J13" s="20" t="n"/>
      <c r="K13" s="20" t="n"/>
      <c r="L13" s="21" t="n"/>
      <c r="M13" s="21" t="n"/>
      <c r="N13" s="22">
        <f>IF(OR($L13="",$M13=""),"",$M13-($M13*Settings!$B$5)-Settings!$B$6-Settings!$B$7-Settings!$B$8-$L13-Settings!$B$9)</f>
        <v/>
      </c>
      <c r="O13" s="23">
        <f>IF(OR($E13="",$M13="",$M13=0),"",ABS($E13-$M13)/$M13)</f>
        <v/>
      </c>
      <c r="P13" s="23">
        <f>IF(OR($I13="",$M13="",$M13=0),"",ABS($I13-$M13)/$M13)</f>
        <v/>
      </c>
      <c r="Q13" s="24">
        <f>IF(OR($O13="",$P13=""),"",IF($O13&lt;$P13,"Copilot",IF($P13&lt;$O13,"Other","Tie")))</f>
        <v/>
      </c>
      <c r="R13" s="20" t="n"/>
    </row>
    <row r="14">
      <c r="A14" s="19" t="n"/>
      <c r="B14" s="20" t="n"/>
      <c r="C14" s="20" t="n"/>
      <c r="D14" s="21" t="n"/>
      <c r="E14" s="21" t="n"/>
      <c r="F14" s="21" t="n"/>
      <c r="G14" s="20" t="n"/>
      <c r="H14" s="20" t="n"/>
      <c r="I14" s="21" t="n"/>
      <c r="J14" s="20" t="n"/>
      <c r="K14" s="20" t="n"/>
      <c r="L14" s="21" t="n"/>
      <c r="M14" s="21" t="n"/>
      <c r="N14" s="22">
        <f>IF(OR($L14="",$M14=""),"",$M14-($M14*Settings!$B$5)-Settings!$B$6-Settings!$B$7-Settings!$B$8-$L14-Settings!$B$9)</f>
        <v/>
      </c>
      <c r="O14" s="23">
        <f>IF(OR($E14="",$M14="",$M14=0),"",ABS($E14-$M14)/$M14)</f>
        <v/>
      </c>
      <c r="P14" s="23">
        <f>IF(OR($I14="",$M14="",$M14=0),"",ABS($I14-$M14)/$M14)</f>
        <v/>
      </c>
      <c r="Q14" s="24">
        <f>IF(OR($O14="",$P14=""),"",IF($O14&lt;$P14,"Copilot",IF($P14&lt;$O14,"Other","Tie")))</f>
        <v/>
      </c>
      <c r="R14" s="20" t="n"/>
    </row>
    <row r="15">
      <c r="A15" s="19" t="n"/>
      <c r="B15" s="20" t="n"/>
      <c r="C15" s="20" t="n"/>
      <c r="D15" s="21" t="n"/>
      <c r="E15" s="21" t="n"/>
      <c r="F15" s="21" t="n"/>
      <c r="G15" s="20" t="n"/>
      <c r="H15" s="20" t="n"/>
      <c r="I15" s="21" t="n"/>
      <c r="J15" s="20" t="n"/>
      <c r="K15" s="20" t="n"/>
      <c r="L15" s="21" t="n"/>
      <c r="M15" s="21" t="n"/>
      <c r="N15" s="22">
        <f>IF(OR($L15="",$M15=""),"",$M15-($M15*Settings!$B$5)-Settings!$B$6-Settings!$B$7-Settings!$B$8-$L15-Settings!$B$9)</f>
        <v/>
      </c>
      <c r="O15" s="23">
        <f>IF(OR($E15="",$M15="",$M15=0),"",ABS($E15-$M15)/$M15)</f>
        <v/>
      </c>
      <c r="P15" s="23">
        <f>IF(OR($I15="",$M15="",$M15=0),"",ABS($I15-$M15)/$M15)</f>
        <v/>
      </c>
      <c r="Q15" s="24">
        <f>IF(OR($O15="",$P15=""),"",IF($O15&lt;$P15,"Copilot",IF($P15&lt;$O15,"Other","Tie")))</f>
        <v/>
      </c>
      <c r="R15" s="20" t="n"/>
    </row>
    <row r="16">
      <c r="A16" s="19" t="n"/>
      <c r="B16" s="20" t="n"/>
      <c r="C16" s="20" t="n"/>
      <c r="D16" s="21" t="n"/>
      <c r="E16" s="21" t="n"/>
      <c r="F16" s="21" t="n"/>
      <c r="G16" s="20" t="n"/>
      <c r="H16" s="20" t="n"/>
      <c r="I16" s="21" t="n"/>
      <c r="J16" s="20" t="n"/>
      <c r="K16" s="20" t="n"/>
      <c r="L16" s="21" t="n"/>
      <c r="M16" s="21" t="n"/>
      <c r="N16" s="22">
        <f>IF(OR($L16="",$M16=""),"",$M16-($M16*Settings!$B$5)-Settings!$B$6-Settings!$B$7-Settings!$B$8-$L16-Settings!$B$9)</f>
        <v/>
      </c>
      <c r="O16" s="23">
        <f>IF(OR($E16="",$M16="",$M16=0),"",ABS($E16-$M16)/$M16)</f>
        <v/>
      </c>
      <c r="P16" s="23">
        <f>IF(OR($I16="",$M16="",$M16=0),"",ABS($I16-$M16)/$M16)</f>
        <v/>
      </c>
      <c r="Q16" s="24">
        <f>IF(OR($O16="",$P16=""),"",IF($O16&lt;$P16,"Copilot",IF($P16&lt;$O16,"Other","Tie")))</f>
        <v/>
      </c>
      <c r="R16" s="20" t="n"/>
    </row>
    <row r="17">
      <c r="A17" s="19" t="n"/>
      <c r="B17" s="20" t="n"/>
      <c r="C17" s="20" t="n"/>
      <c r="D17" s="21" t="n"/>
      <c r="E17" s="21" t="n"/>
      <c r="F17" s="21" t="n"/>
      <c r="G17" s="20" t="n"/>
      <c r="H17" s="20" t="n"/>
      <c r="I17" s="21" t="n"/>
      <c r="J17" s="20" t="n"/>
      <c r="K17" s="20" t="n"/>
      <c r="L17" s="21" t="n"/>
      <c r="M17" s="21" t="n"/>
      <c r="N17" s="22">
        <f>IF(OR($L17="",$M17=""),"",$M17-($M17*Settings!$B$5)-Settings!$B$6-Settings!$B$7-Settings!$B$8-$L17-Settings!$B$9)</f>
        <v/>
      </c>
      <c r="O17" s="23">
        <f>IF(OR($E17="",$M17="",$M17=0),"",ABS($E17-$M17)/$M17)</f>
        <v/>
      </c>
      <c r="P17" s="23">
        <f>IF(OR($I17="",$M17="",$M17=0),"",ABS($I17-$M17)/$M17)</f>
        <v/>
      </c>
      <c r="Q17" s="24">
        <f>IF(OR($O17="",$P17=""),"",IF($O17&lt;$P17,"Copilot",IF($P17&lt;$O17,"Other","Tie")))</f>
        <v/>
      </c>
      <c r="R17" s="20" t="n"/>
    </row>
    <row r="18">
      <c r="A18" s="19" t="n"/>
      <c r="B18" s="20" t="n"/>
      <c r="C18" s="20" t="n"/>
      <c r="D18" s="21" t="n"/>
      <c r="E18" s="21" t="n"/>
      <c r="F18" s="21" t="n"/>
      <c r="G18" s="20" t="n"/>
      <c r="H18" s="20" t="n"/>
      <c r="I18" s="21" t="n"/>
      <c r="J18" s="20" t="n"/>
      <c r="K18" s="20" t="n"/>
      <c r="L18" s="21" t="n"/>
      <c r="M18" s="21" t="n"/>
      <c r="N18" s="22">
        <f>IF(OR($L18="",$M18=""),"",$M18-($M18*Settings!$B$5)-Settings!$B$6-Settings!$B$7-Settings!$B$8-$L18-Settings!$B$9)</f>
        <v/>
      </c>
      <c r="O18" s="23">
        <f>IF(OR($E18="",$M18="",$M18=0),"",ABS($E18-$M18)/$M18)</f>
        <v/>
      </c>
      <c r="P18" s="23">
        <f>IF(OR($I18="",$M18="",$M18=0),"",ABS($I18-$M18)/$M18)</f>
        <v/>
      </c>
      <c r="Q18" s="24">
        <f>IF(OR($O18="",$P18=""),"",IF($O18&lt;$P18,"Copilot",IF($P18&lt;$O18,"Other","Tie")))</f>
        <v/>
      </c>
      <c r="R18" s="20" t="n"/>
    </row>
    <row r="19">
      <c r="A19" s="19" t="n"/>
      <c r="B19" s="20" t="n"/>
      <c r="C19" s="20" t="n"/>
      <c r="D19" s="21" t="n"/>
      <c r="E19" s="21" t="n"/>
      <c r="F19" s="21" t="n"/>
      <c r="G19" s="20" t="n"/>
      <c r="H19" s="20" t="n"/>
      <c r="I19" s="21" t="n"/>
      <c r="J19" s="20" t="n"/>
      <c r="K19" s="20" t="n"/>
      <c r="L19" s="21" t="n"/>
      <c r="M19" s="21" t="n"/>
      <c r="N19" s="22">
        <f>IF(OR($L19="",$M19=""),"",$M19-($M19*Settings!$B$5)-Settings!$B$6-Settings!$B$7-Settings!$B$8-$L19-Settings!$B$9)</f>
        <v/>
      </c>
      <c r="O19" s="23">
        <f>IF(OR($E19="",$M19="",$M19=0),"",ABS($E19-$M19)/$M19)</f>
        <v/>
      </c>
      <c r="P19" s="23">
        <f>IF(OR($I19="",$M19="",$M19=0),"",ABS($I19-$M19)/$M19)</f>
        <v/>
      </c>
      <c r="Q19" s="24">
        <f>IF(OR($O19="",$P19=""),"",IF($O19&lt;$P19,"Copilot",IF($P19&lt;$O19,"Other","Tie")))</f>
        <v/>
      </c>
      <c r="R19" s="20" t="n"/>
    </row>
    <row r="20">
      <c r="A20" s="19" t="n"/>
      <c r="B20" s="20" t="n"/>
      <c r="C20" s="20" t="n"/>
      <c r="D20" s="21" t="n"/>
      <c r="E20" s="21" t="n"/>
      <c r="F20" s="21" t="n"/>
      <c r="G20" s="20" t="n"/>
      <c r="H20" s="20" t="n"/>
      <c r="I20" s="21" t="n"/>
      <c r="J20" s="20" t="n"/>
      <c r="K20" s="20" t="n"/>
      <c r="L20" s="21" t="n"/>
      <c r="M20" s="21" t="n"/>
      <c r="N20" s="22">
        <f>IF(OR($L20="",$M20=""),"",$M20-($M20*Settings!$B$5)-Settings!$B$6-Settings!$B$7-Settings!$B$8-$L20-Settings!$B$9)</f>
        <v/>
      </c>
      <c r="O20" s="23">
        <f>IF(OR($E20="",$M20="",$M20=0),"",ABS($E20-$M20)/$M20)</f>
        <v/>
      </c>
      <c r="P20" s="23">
        <f>IF(OR($I20="",$M20="",$M20=0),"",ABS($I20-$M20)/$M20)</f>
        <v/>
      </c>
      <c r="Q20" s="24">
        <f>IF(OR($O20="",$P20=""),"",IF($O20&lt;$P20,"Copilot",IF($P20&lt;$O20,"Other","Tie")))</f>
        <v/>
      </c>
      <c r="R20" s="20" t="n"/>
    </row>
    <row r="21">
      <c r="A21" s="19" t="n"/>
      <c r="B21" s="20" t="n"/>
      <c r="C21" s="20" t="n"/>
      <c r="D21" s="21" t="n"/>
      <c r="E21" s="21" t="n"/>
      <c r="F21" s="21" t="n"/>
      <c r="G21" s="20" t="n"/>
      <c r="H21" s="20" t="n"/>
      <c r="I21" s="21" t="n"/>
      <c r="J21" s="20" t="n"/>
      <c r="K21" s="20" t="n"/>
      <c r="L21" s="21" t="n"/>
      <c r="M21" s="21" t="n"/>
      <c r="N21" s="22">
        <f>IF(OR($L21="",$M21=""),"",$M21-($M21*Settings!$B$5)-Settings!$B$6-Settings!$B$7-Settings!$B$8-$L21-Settings!$B$9)</f>
        <v/>
      </c>
      <c r="O21" s="23">
        <f>IF(OR($E21="",$M21="",$M21=0),"",ABS($E21-$M21)/$M21)</f>
        <v/>
      </c>
      <c r="P21" s="23">
        <f>IF(OR($I21="",$M21="",$M21=0),"",ABS($I21-$M21)/$M21)</f>
        <v/>
      </c>
      <c r="Q21" s="24">
        <f>IF(OR($O21="",$P21=""),"",IF($O21&lt;$P21,"Copilot",IF($P21&lt;$O21,"Other","Tie")))</f>
        <v/>
      </c>
      <c r="R21" s="20" t="n"/>
    </row>
    <row r="22">
      <c r="A22" s="19" t="n"/>
      <c r="B22" s="20" t="n"/>
      <c r="C22" s="20" t="n"/>
      <c r="D22" s="21" t="n"/>
      <c r="E22" s="21" t="n"/>
      <c r="F22" s="21" t="n"/>
      <c r="G22" s="20" t="n"/>
      <c r="H22" s="20" t="n"/>
      <c r="I22" s="21" t="n"/>
      <c r="J22" s="20" t="n"/>
      <c r="K22" s="20" t="n"/>
      <c r="L22" s="21" t="n"/>
      <c r="M22" s="21" t="n"/>
      <c r="N22" s="22">
        <f>IF(OR($L22="",$M22=""),"",$M22-($M22*Settings!$B$5)-Settings!$B$6-Settings!$B$7-Settings!$B$8-$L22-Settings!$B$9)</f>
        <v/>
      </c>
      <c r="O22" s="23">
        <f>IF(OR($E22="",$M22="",$M22=0),"",ABS($E22-$M22)/$M22)</f>
        <v/>
      </c>
      <c r="P22" s="23">
        <f>IF(OR($I22="",$M22="",$M22=0),"",ABS($I22-$M22)/$M22)</f>
        <v/>
      </c>
      <c r="Q22" s="24">
        <f>IF(OR($O22="",$P22=""),"",IF($O22&lt;$P22,"Copilot",IF($P22&lt;$O22,"Other","Tie")))</f>
        <v/>
      </c>
      <c r="R22" s="20" t="n"/>
    </row>
    <row r="23">
      <c r="A23" s="19" t="n"/>
      <c r="B23" s="20" t="n"/>
      <c r="C23" s="20" t="n"/>
      <c r="D23" s="21" t="n"/>
      <c r="E23" s="21" t="n"/>
      <c r="F23" s="21" t="n"/>
      <c r="G23" s="20" t="n"/>
      <c r="H23" s="20" t="n"/>
      <c r="I23" s="21" t="n"/>
      <c r="J23" s="20" t="n"/>
      <c r="K23" s="20" t="n"/>
      <c r="L23" s="21" t="n"/>
      <c r="M23" s="21" t="n"/>
      <c r="N23" s="22">
        <f>IF(OR($L23="",$M23=""),"",$M23-($M23*Settings!$B$5)-Settings!$B$6-Settings!$B$7-Settings!$B$8-$L23-Settings!$B$9)</f>
        <v/>
      </c>
      <c r="O23" s="23">
        <f>IF(OR($E23="",$M23="",$M23=0),"",ABS($E23-$M23)/$M23)</f>
        <v/>
      </c>
      <c r="P23" s="23">
        <f>IF(OR($I23="",$M23="",$M23=0),"",ABS($I23-$M23)/$M23)</f>
        <v/>
      </c>
      <c r="Q23" s="24">
        <f>IF(OR($O23="",$P23=""),"",IF($O23&lt;$P23,"Copilot",IF($P23&lt;$O23,"Other","Tie")))</f>
        <v/>
      </c>
      <c r="R23" s="20" t="n"/>
    </row>
    <row r="24">
      <c r="A24" s="19" t="n"/>
      <c r="B24" s="20" t="n"/>
      <c r="C24" s="20" t="n"/>
      <c r="D24" s="21" t="n"/>
      <c r="E24" s="21" t="n"/>
      <c r="F24" s="21" t="n"/>
      <c r="G24" s="20" t="n"/>
      <c r="H24" s="20" t="n"/>
      <c r="I24" s="21" t="n"/>
      <c r="J24" s="20" t="n"/>
      <c r="K24" s="20" t="n"/>
      <c r="L24" s="21" t="n"/>
      <c r="M24" s="21" t="n"/>
      <c r="N24" s="22">
        <f>IF(OR($L24="",$M24=""),"",$M24-($M24*Settings!$B$5)-Settings!$B$6-Settings!$B$7-Settings!$B$8-$L24-Settings!$B$9)</f>
        <v/>
      </c>
      <c r="O24" s="23">
        <f>IF(OR($E24="",$M24="",$M24=0),"",ABS($E24-$M24)/$M24)</f>
        <v/>
      </c>
      <c r="P24" s="23">
        <f>IF(OR($I24="",$M24="",$M24=0),"",ABS($I24-$M24)/$M24)</f>
        <v/>
      </c>
      <c r="Q24" s="24">
        <f>IF(OR($O24="",$P24=""),"",IF($O24&lt;$P24,"Copilot",IF($P24&lt;$O24,"Other","Tie")))</f>
        <v/>
      </c>
      <c r="R24" s="20" t="n"/>
    </row>
    <row r="25">
      <c r="A25" s="19" t="n"/>
      <c r="B25" s="20" t="n"/>
      <c r="C25" s="20" t="n"/>
      <c r="D25" s="21" t="n"/>
      <c r="E25" s="21" t="n"/>
      <c r="F25" s="21" t="n"/>
      <c r="G25" s="20" t="n"/>
      <c r="H25" s="20" t="n"/>
      <c r="I25" s="21" t="n"/>
      <c r="J25" s="20" t="n"/>
      <c r="K25" s="20" t="n"/>
      <c r="L25" s="21" t="n"/>
      <c r="M25" s="21" t="n"/>
      <c r="N25" s="22">
        <f>IF(OR($L25="",$M25=""),"",$M25-($M25*Settings!$B$5)-Settings!$B$6-Settings!$B$7-Settings!$B$8-$L25-Settings!$B$9)</f>
        <v/>
      </c>
      <c r="O25" s="23">
        <f>IF(OR($E25="",$M25="",$M25=0),"",ABS($E25-$M25)/$M25)</f>
        <v/>
      </c>
      <c r="P25" s="23">
        <f>IF(OR($I25="",$M25="",$M25=0),"",ABS($I25-$M25)/$M25)</f>
        <v/>
      </c>
      <c r="Q25" s="24">
        <f>IF(OR($O25="",$P25=""),"",IF($O25&lt;$P25,"Copilot",IF($P25&lt;$O25,"Other","Tie")))</f>
        <v/>
      </c>
      <c r="R25" s="20" t="n"/>
    </row>
    <row r="26">
      <c r="A26" s="19" t="n"/>
      <c r="B26" s="20" t="n"/>
      <c r="C26" s="20" t="n"/>
      <c r="D26" s="21" t="n"/>
      <c r="E26" s="21" t="n"/>
      <c r="F26" s="21" t="n"/>
      <c r="G26" s="20" t="n"/>
      <c r="H26" s="20" t="n"/>
      <c r="I26" s="21" t="n"/>
      <c r="J26" s="20" t="n"/>
      <c r="K26" s="20" t="n"/>
      <c r="L26" s="21" t="n"/>
      <c r="M26" s="21" t="n"/>
      <c r="N26" s="22">
        <f>IF(OR($L26="",$M26=""),"",$M26-($M26*Settings!$B$5)-Settings!$B$6-Settings!$B$7-Settings!$B$8-$L26-Settings!$B$9)</f>
        <v/>
      </c>
      <c r="O26" s="23">
        <f>IF(OR($E26="",$M26="",$M26=0),"",ABS($E26-$M26)/$M26)</f>
        <v/>
      </c>
      <c r="P26" s="23">
        <f>IF(OR($I26="",$M26="",$M26=0),"",ABS($I26-$M26)/$M26)</f>
        <v/>
      </c>
      <c r="Q26" s="24">
        <f>IF(OR($O26="",$P26=""),"",IF($O26&lt;$P26,"Copilot",IF($P26&lt;$O26,"Other","Tie")))</f>
        <v/>
      </c>
      <c r="R26" s="20" t="n"/>
    </row>
    <row r="27">
      <c r="A27" s="19" t="n"/>
      <c r="B27" s="20" t="n"/>
      <c r="C27" s="20" t="n"/>
      <c r="D27" s="21" t="n"/>
      <c r="E27" s="21" t="n"/>
      <c r="F27" s="21" t="n"/>
      <c r="G27" s="20" t="n"/>
      <c r="H27" s="20" t="n"/>
      <c r="I27" s="21" t="n"/>
      <c r="J27" s="20" t="n"/>
      <c r="K27" s="20" t="n"/>
      <c r="L27" s="21" t="n"/>
      <c r="M27" s="21" t="n"/>
      <c r="N27" s="22">
        <f>IF(OR($L27="",$M27=""),"",$M27-($M27*Settings!$B$5)-Settings!$B$6-Settings!$B$7-Settings!$B$8-$L27-Settings!$B$9)</f>
        <v/>
      </c>
      <c r="O27" s="23">
        <f>IF(OR($E27="",$M27="",$M27=0),"",ABS($E27-$M27)/$M27)</f>
        <v/>
      </c>
      <c r="P27" s="23">
        <f>IF(OR($I27="",$M27="",$M27=0),"",ABS($I27-$M27)/$M27)</f>
        <v/>
      </c>
      <c r="Q27" s="24">
        <f>IF(OR($O27="",$P27=""),"",IF($O27&lt;$P27,"Copilot",IF($P27&lt;$O27,"Other","Tie")))</f>
        <v/>
      </c>
      <c r="R27" s="20" t="n"/>
    </row>
    <row r="28">
      <c r="A28" s="19" t="n"/>
      <c r="B28" s="20" t="n"/>
      <c r="C28" s="20" t="n"/>
      <c r="D28" s="21" t="n"/>
      <c r="E28" s="21" t="n"/>
      <c r="F28" s="21" t="n"/>
      <c r="G28" s="20" t="n"/>
      <c r="H28" s="20" t="n"/>
      <c r="I28" s="21" t="n"/>
      <c r="J28" s="20" t="n"/>
      <c r="K28" s="20" t="n"/>
      <c r="L28" s="21" t="n"/>
      <c r="M28" s="21" t="n"/>
      <c r="N28" s="22">
        <f>IF(OR($L28="",$M28=""),"",$M28-($M28*Settings!$B$5)-Settings!$B$6-Settings!$B$7-Settings!$B$8-$L28-Settings!$B$9)</f>
        <v/>
      </c>
      <c r="O28" s="23">
        <f>IF(OR($E28="",$M28="",$M28=0),"",ABS($E28-$M28)/$M28)</f>
        <v/>
      </c>
      <c r="P28" s="23">
        <f>IF(OR($I28="",$M28="",$M28=0),"",ABS($I28-$M28)/$M28)</f>
        <v/>
      </c>
      <c r="Q28" s="24">
        <f>IF(OR($O28="",$P28=""),"",IF($O28&lt;$P28,"Copilot",IF($P28&lt;$O28,"Other","Tie")))</f>
        <v/>
      </c>
      <c r="R28" s="20" t="n"/>
    </row>
    <row r="29">
      <c r="A29" s="19" t="n"/>
      <c r="B29" s="20" t="n"/>
      <c r="C29" s="20" t="n"/>
      <c r="D29" s="21" t="n"/>
      <c r="E29" s="21" t="n"/>
      <c r="F29" s="21" t="n"/>
      <c r="G29" s="20" t="n"/>
      <c r="H29" s="20" t="n"/>
      <c r="I29" s="21" t="n"/>
      <c r="J29" s="20" t="n"/>
      <c r="K29" s="20" t="n"/>
      <c r="L29" s="21" t="n"/>
      <c r="M29" s="21" t="n"/>
      <c r="N29" s="22">
        <f>IF(OR($L29="",$M29=""),"",$M29-($M29*Settings!$B$5)-Settings!$B$6-Settings!$B$7-Settings!$B$8-$L29-Settings!$B$9)</f>
        <v/>
      </c>
      <c r="O29" s="23">
        <f>IF(OR($E29="",$M29="",$M29=0),"",ABS($E29-$M29)/$M29)</f>
        <v/>
      </c>
      <c r="P29" s="23">
        <f>IF(OR($I29="",$M29="",$M29=0),"",ABS($I29-$M29)/$M29)</f>
        <v/>
      </c>
      <c r="Q29" s="24">
        <f>IF(OR($O29="",$P29=""),"",IF($O29&lt;$P29,"Copilot",IF($P29&lt;$O29,"Other","Tie")))</f>
        <v/>
      </c>
      <c r="R29" s="20" t="n"/>
    </row>
    <row r="30">
      <c r="A30" s="19" t="n"/>
      <c r="B30" s="20" t="n"/>
      <c r="C30" s="20" t="n"/>
      <c r="D30" s="21" t="n"/>
      <c r="E30" s="21" t="n"/>
      <c r="F30" s="21" t="n"/>
      <c r="G30" s="20" t="n"/>
      <c r="H30" s="20" t="n"/>
      <c r="I30" s="21" t="n"/>
      <c r="J30" s="20" t="n"/>
      <c r="K30" s="20" t="n"/>
      <c r="L30" s="21" t="n"/>
      <c r="M30" s="21" t="n"/>
      <c r="N30" s="22">
        <f>IF(OR($L30="",$M30=""),"",$M30-($M30*Settings!$B$5)-Settings!$B$6-Settings!$B$7-Settings!$B$8-$L30-Settings!$B$9)</f>
        <v/>
      </c>
      <c r="O30" s="23">
        <f>IF(OR($E30="",$M30="",$M30=0),"",ABS($E30-$M30)/$M30)</f>
        <v/>
      </c>
      <c r="P30" s="23">
        <f>IF(OR($I30="",$M30="",$M30=0),"",ABS($I30-$M30)/$M30)</f>
        <v/>
      </c>
      <c r="Q30" s="24">
        <f>IF(OR($O30="",$P30=""),"",IF($O30&lt;$P30,"Copilot",IF($P30&lt;$O30,"Other","Tie")))</f>
        <v/>
      </c>
      <c r="R30" s="20" t="n"/>
    </row>
    <row r="31">
      <c r="A31" s="19" t="n"/>
      <c r="B31" s="20" t="n"/>
      <c r="C31" s="20" t="n"/>
      <c r="D31" s="21" t="n"/>
      <c r="E31" s="21" t="n"/>
      <c r="F31" s="21" t="n"/>
      <c r="G31" s="20" t="n"/>
      <c r="H31" s="20" t="n"/>
      <c r="I31" s="21" t="n"/>
      <c r="J31" s="20" t="n"/>
      <c r="K31" s="20" t="n"/>
      <c r="L31" s="21" t="n"/>
      <c r="M31" s="21" t="n"/>
      <c r="N31" s="22">
        <f>IF(OR($L31="",$M31=""),"",$M31-($M31*Settings!$B$5)-Settings!$B$6-Settings!$B$7-Settings!$B$8-$L31-Settings!$B$9)</f>
        <v/>
      </c>
      <c r="O31" s="23">
        <f>IF(OR($E31="",$M31="",$M31=0),"",ABS($E31-$M31)/$M31)</f>
        <v/>
      </c>
      <c r="P31" s="23">
        <f>IF(OR($I31="",$M31="",$M31=0),"",ABS($I31-$M31)/$M31)</f>
        <v/>
      </c>
      <c r="Q31" s="24">
        <f>IF(OR($O31="",$P31=""),"",IF($O31&lt;$P31,"Copilot",IF($P31&lt;$O31,"Other","Tie")))</f>
        <v/>
      </c>
      <c r="R31" s="20" t="n"/>
    </row>
    <row r="32">
      <c r="A32" s="19" t="n"/>
      <c r="B32" s="20" t="n"/>
      <c r="C32" s="20" t="n"/>
      <c r="D32" s="21" t="n"/>
      <c r="E32" s="21" t="n"/>
      <c r="F32" s="21" t="n"/>
      <c r="G32" s="20" t="n"/>
      <c r="H32" s="20" t="n"/>
      <c r="I32" s="21" t="n"/>
      <c r="J32" s="20" t="n"/>
      <c r="K32" s="20" t="n"/>
      <c r="L32" s="21" t="n"/>
      <c r="M32" s="21" t="n"/>
      <c r="N32" s="22">
        <f>IF(OR($L32="",$M32=""),"",$M32-($M32*Settings!$B$5)-Settings!$B$6-Settings!$B$7-Settings!$B$8-$L32-Settings!$B$9)</f>
        <v/>
      </c>
      <c r="O32" s="23">
        <f>IF(OR($E32="",$M32="",$M32=0),"",ABS($E32-$M32)/$M32)</f>
        <v/>
      </c>
      <c r="P32" s="23">
        <f>IF(OR($I32="",$M32="",$M32=0),"",ABS($I32-$M32)/$M32)</f>
        <v/>
      </c>
      <c r="Q32" s="24">
        <f>IF(OR($O32="",$P32=""),"",IF($O32&lt;$P32,"Copilot",IF($P32&lt;$O32,"Other","Tie")))</f>
        <v/>
      </c>
      <c r="R32" s="20" t="n"/>
    </row>
    <row r="33">
      <c r="A33" s="19" t="n"/>
      <c r="B33" s="20" t="n"/>
      <c r="C33" s="20" t="n"/>
      <c r="D33" s="21" t="n"/>
      <c r="E33" s="21" t="n"/>
      <c r="F33" s="21" t="n"/>
      <c r="G33" s="20" t="n"/>
      <c r="H33" s="20" t="n"/>
      <c r="I33" s="21" t="n"/>
      <c r="J33" s="20" t="n"/>
      <c r="K33" s="20" t="n"/>
      <c r="L33" s="21" t="n"/>
      <c r="M33" s="21" t="n"/>
      <c r="N33" s="22">
        <f>IF(OR($L33="",$M33=""),"",$M33-($M33*Settings!$B$5)-Settings!$B$6-Settings!$B$7-Settings!$B$8-$L33-Settings!$B$9)</f>
        <v/>
      </c>
      <c r="O33" s="23">
        <f>IF(OR($E33="",$M33="",$M33=0),"",ABS($E33-$M33)/$M33)</f>
        <v/>
      </c>
      <c r="P33" s="23">
        <f>IF(OR($I33="",$M33="",$M33=0),"",ABS($I33-$M33)/$M33)</f>
        <v/>
      </c>
      <c r="Q33" s="24">
        <f>IF(OR($O33="",$P33=""),"",IF($O33&lt;$P33,"Copilot",IF($P33&lt;$O33,"Other","Tie")))</f>
        <v/>
      </c>
      <c r="R33" s="20" t="n"/>
    </row>
    <row r="34">
      <c r="A34" s="19" t="n"/>
      <c r="B34" s="20" t="n"/>
      <c r="C34" s="20" t="n"/>
      <c r="D34" s="21" t="n"/>
      <c r="E34" s="21" t="n"/>
      <c r="F34" s="21" t="n"/>
      <c r="G34" s="20" t="n"/>
      <c r="H34" s="20" t="n"/>
      <c r="I34" s="21" t="n"/>
      <c r="J34" s="20" t="n"/>
      <c r="K34" s="20" t="n"/>
      <c r="L34" s="21" t="n"/>
      <c r="M34" s="21" t="n"/>
      <c r="N34" s="22">
        <f>IF(OR($L34="",$M34=""),"",$M34-($M34*Settings!$B$5)-Settings!$B$6-Settings!$B$7-Settings!$B$8-$L34-Settings!$B$9)</f>
        <v/>
      </c>
      <c r="O34" s="23">
        <f>IF(OR($E34="",$M34="",$M34=0),"",ABS($E34-$M34)/$M34)</f>
        <v/>
      </c>
      <c r="P34" s="23">
        <f>IF(OR($I34="",$M34="",$M34=0),"",ABS($I34-$M34)/$M34)</f>
        <v/>
      </c>
      <c r="Q34" s="24">
        <f>IF(OR($O34="",$P34=""),"",IF($O34&lt;$P34,"Copilot",IF($P34&lt;$O34,"Other","Tie")))</f>
        <v/>
      </c>
      <c r="R34" s="20" t="n"/>
    </row>
    <row r="35">
      <c r="A35" s="19" t="n"/>
      <c r="B35" s="20" t="n"/>
      <c r="C35" s="20" t="n"/>
      <c r="D35" s="21" t="n"/>
      <c r="E35" s="21" t="n"/>
      <c r="F35" s="21" t="n"/>
      <c r="G35" s="20" t="n"/>
      <c r="H35" s="20" t="n"/>
      <c r="I35" s="21" t="n"/>
      <c r="J35" s="20" t="n"/>
      <c r="K35" s="20" t="n"/>
      <c r="L35" s="21" t="n"/>
      <c r="M35" s="21" t="n"/>
      <c r="N35" s="22">
        <f>IF(OR($L35="",$M35=""),"",$M35-($M35*Settings!$B$5)-Settings!$B$6-Settings!$B$7-Settings!$B$8-$L35-Settings!$B$9)</f>
        <v/>
      </c>
      <c r="O35" s="23">
        <f>IF(OR($E35="",$M35="",$M35=0),"",ABS($E35-$M35)/$M35)</f>
        <v/>
      </c>
      <c r="P35" s="23">
        <f>IF(OR($I35="",$M35="",$M35=0),"",ABS($I35-$M35)/$M35)</f>
        <v/>
      </c>
      <c r="Q35" s="24">
        <f>IF(OR($O35="",$P35=""),"",IF($O35&lt;$P35,"Copilot",IF($P35&lt;$O35,"Other","Tie")))</f>
        <v/>
      </c>
      <c r="R35" s="20" t="n"/>
    </row>
    <row r="36">
      <c r="A36" s="19" t="n"/>
      <c r="B36" s="20" t="n"/>
      <c r="C36" s="20" t="n"/>
      <c r="D36" s="21" t="n"/>
      <c r="E36" s="21" t="n"/>
      <c r="F36" s="21" t="n"/>
      <c r="G36" s="20" t="n"/>
      <c r="H36" s="20" t="n"/>
      <c r="I36" s="21" t="n"/>
      <c r="J36" s="20" t="n"/>
      <c r="K36" s="20" t="n"/>
      <c r="L36" s="21" t="n"/>
      <c r="M36" s="21" t="n"/>
      <c r="N36" s="22">
        <f>IF(OR($L36="",$M36=""),"",$M36-($M36*Settings!$B$5)-Settings!$B$6-Settings!$B$7-Settings!$B$8-$L36-Settings!$B$9)</f>
        <v/>
      </c>
      <c r="O36" s="23">
        <f>IF(OR($E36="",$M36="",$M36=0),"",ABS($E36-$M36)/$M36)</f>
        <v/>
      </c>
      <c r="P36" s="23">
        <f>IF(OR($I36="",$M36="",$M36=0),"",ABS($I36-$M36)/$M36)</f>
        <v/>
      </c>
      <c r="Q36" s="24">
        <f>IF(OR($O36="",$P36=""),"",IF($O36&lt;$P36,"Copilot",IF($P36&lt;$O36,"Other","Tie")))</f>
        <v/>
      </c>
      <c r="R36" s="20" t="n"/>
    </row>
    <row r="37">
      <c r="A37" s="19" t="n"/>
      <c r="B37" s="20" t="n"/>
      <c r="C37" s="20" t="n"/>
      <c r="D37" s="21" t="n"/>
      <c r="E37" s="21" t="n"/>
      <c r="F37" s="21" t="n"/>
      <c r="G37" s="20" t="n"/>
      <c r="H37" s="20" t="n"/>
      <c r="I37" s="21" t="n"/>
      <c r="J37" s="20" t="n"/>
      <c r="K37" s="20" t="n"/>
      <c r="L37" s="21" t="n"/>
      <c r="M37" s="21" t="n"/>
      <c r="N37" s="22">
        <f>IF(OR($L37="",$M37=""),"",$M37-($M37*Settings!$B$5)-Settings!$B$6-Settings!$B$7-Settings!$B$8-$L37-Settings!$B$9)</f>
        <v/>
      </c>
      <c r="O37" s="23">
        <f>IF(OR($E37="",$M37="",$M37=0),"",ABS($E37-$M37)/$M37)</f>
        <v/>
      </c>
      <c r="P37" s="23">
        <f>IF(OR($I37="",$M37="",$M37=0),"",ABS($I37-$M37)/$M37)</f>
        <v/>
      </c>
      <c r="Q37" s="24">
        <f>IF(OR($O37="",$P37=""),"",IF($O37&lt;$P37,"Copilot",IF($P37&lt;$O37,"Other","Tie")))</f>
        <v/>
      </c>
      <c r="R37" s="20" t="n"/>
    </row>
    <row r="38">
      <c r="A38" s="19" t="n"/>
      <c r="B38" s="20" t="n"/>
      <c r="C38" s="20" t="n"/>
      <c r="D38" s="21" t="n"/>
      <c r="E38" s="21" t="n"/>
      <c r="F38" s="21" t="n"/>
      <c r="G38" s="20" t="n"/>
      <c r="H38" s="20" t="n"/>
      <c r="I38" s="21" t="n"/>
      <c r="J38" s="20" t="n"/>
      <c r="K38" s="20" t="n"/>
      <c r="L38" s="21" t="n"/>
      <c r="M38" s="21" t="n"/>
      <c r="N38" s="22">
        <f>IF(OR($L38="",$M38=""),"",$M38-($M38*Settings!$B$5)-Settings!$B$6-Settings!$B$7-Settings!$B$8-$L38-Settings!$B$9)</f>
        <v/>
      </c>
      <c r="O38" s="23">
        <f>IF(OR($E38="",$M38="",$M38=0),"",ABS($E38-$M38)/$M38)</f>
        <v/>
      </c>
      <c r="P38" s="23">
        <f>IF(OR($I38="",$M38="",$M38=0),"",ABS($I38-$M38)/$M38)</f>
        <v/>
      </c>
      <c r="Q38" s="24">
        <f>IF(OR($O38="",$P38=""),"",IF($O38&lt;$P38,"Copilot",IF($P38&lt;$O38,"Other","Tie")))</f>
        <v/>
      </c>
      <c r="R38" s="20" t="n"/>
    </row>
    <row r="39">
      <c r="A39" s="19" t="n"/>
      <c r="B39" s="20" t="n"/>
      <c r="C39" s="20" t="n"/>
      <c r="D39" s="21" t="n"/>
      <c r="E39" s="21" t="n"/>
      <c r="F39" s="21" t="n"/>
      <c r="G39" s="20" t="n"/>
      <c r="H39" s="20" t="n"/>
      <c r="I39" s="21" t="n"/>
      <c r="J39" s="20" t="n"/>
      <c r="K39" s="20" t="n"/>
      <c r="L39" s="21" t="n"/>
      <c r="M39" s="21" t="n"/>
      <c r="N39" s="22">
        <f>IF(OR($L39="",$M39=""),"",$M39-($M39*Settings!$B$5)-Settings!$B$6-Settings!$B$7-Settings!$B$8-$L39-Settings!$B$9)</f>
        <v/>
      </c>
      <c r="O39" s="23">
        <f>IF(OR($E39="",$M39="",$M39=0),"",ABS($E39-$M39)/$M39)</f>
        <v/>
      </c>
      <c r="P39" s="23">
        <f>IF(OR($I39="",$M39="",$M39=0),"",ABS($I39-$M39)/$M39)</f>
        <v/>
      </c>
      <c r="Q39" s="24">
        <f>IF(OR($O39="",$P39=""),"",IF($O39&lt;$P39,"Copilot",IF($P39&lt;$O39,"Other","Tie")))</f>
        <v/>
      </c>
      <c r="R39" s="20" t="n"/>
    </row>
    <row r="40">
      <c r="A40" s="19" t="n"/>
      <c r="B40" s="20" t="n"/>
      <c r="C40" s="20" t="n"/>
      <c r="D40" s="21" t="n"/>
      <c r="E40" s="21" t="n"/>
      <c r="F40" s="21" t="n"/>
      <c r="G40" s="20" t="n"/>
      <c r="H40" s="20" t="n"/>
      <c r="I40" s="21" t="n"/>
      <c r="J40" s="20" t="n"/>
      <c r="K40" s="20" t="n"/>
      <c r="L40" s="21" t="n"/>
      <c r="M40" s="21" t="n"/>
      <c r="N40" s="22">
        <f>IF(OR($L40="",$M40=""),"",$M40-($M40*Settings!$B$5)-Settings!$B$6-Settings!$B$7-Settings!$B$8-$L40-Settings!$B$9)</f>
        <v/>
      </c>
      <c r="O40" s="23">
        <f>IF(OR($E40="",$M40="",$M40=0),"",ABS($E40-$M40)/$M40)</f>
        <v/>
      </c>
      <c r="P40" s="23">
        <f>IF(OR($I40="",$M40="",$M40=0),"",ABS($I40-$M40)/$M40)</f>
        <v/>
      </c>
      <c r="Q40" s="24">
        <f>IF(OR($O40="",$P40=""),"",IF($O40&lt;$P40,"Copilot",IF($P40&lt;$O40,"Other","Tie")))</f>
        <v/>
      </c>
      <c r="R40" s="20" t="n"/>
    </row>
    <row r="41">
      <c r="A41" s="19" t="n"/>
      <c r="B41" s="20" t="n"/>
      <c r="C41" s="20" t="n"/>
      <c r="D41" s="21" t="n"/>
      <c r="E41" s="21" t="n"/>
      <c r="F41" s="21" t="n"/>
      <c r="G41" s="20" t="n"/>
      <c r="H41" s="20" t="n"/>
      <c r="I41" s="21" t="n"/>
      <c r="J41" s="20" t="n"/>
      <c r="K41" s="20" t="n"/>
      <c r="L41" s="21" t="n"/>
      <c r="M41" s="21" t="n"/>
      <c r="N41" s="22">
        <f>IF(OR($L41="",$M41=""),"",$M41-($M41*Settings!$B$5)-Settings!$B$6-Settings!$B$7-Settings!$B$8-$L41-Settings!$B$9)</f>
        <v/>
      </c>
      <c r="O41" s="23">
        <f>IF(OR($E41="",$M41="",$M41=0),"",ABS($E41-$M41)/$M41)</f>
        <v/>
      </c>
      <c r="P41" s="23">
        <f>IF(OR($I41="",$M41="",$M41=0),"",ABS($I41-$M41)/$M41)</f>
        <v/>
      </c>
      <c r="Q41" s="24">
        <f>IF(OR($O41="",$P41=""),"",IF($O41&lt;$P41,"Copilot",IF($P41&lt;$O41,"Other","Tie")))</f>
        <v/>
      </c>
      <c r="R41" s="20" t="n"/>
    </row>
    <row r="42">
      <c r="A42" s="19" t="n"/>
      <c r="B42" s="20" t="n"/>
      <c r="C42" s="20" t="n"/>
      <c r="D42" s="21" t="n"/>
      <c r="E42" s="21" t="n"/>
      <c r="F42" s="21" t="n"/>
      <c r="G42" s="20" t="n"/>
      <c r="H42" s="20" t="n"/>
      <c r="I42" s="21" t="n"/>
      <c r="J42" s="20" t="n"/>
      <c r="K42" s="20" t="n"/>
      <c r="L42" s="21" t="n"/>
      <c r="M42" s="21" t="n"/>
      <c r="N42" s="22">
        <f>IF(OR($L42="",$M42=""),"",$M42-($M42*Settings!$B$5)-Settings!$B$6-Settings!$B$7-Settings!$B$8-$L42-Settings!$B$9)</f>
        <v/>
      </c>
      <c r="O42" s="23">
        <f>IF(OR($E42="",$M42="",$M42=0),"",ABS($E42-$M42)/$M42)</f>
        <v/>
      </c>
      <c r="P42" s="23">
        <f>IF(OR($I42="",$M42="",$M42=0),"",ABS($I42-$M42)/$M42)</f>
        <v/>
      </c>
      <c r="Q42" s="24">
        <f>IF(OR($O42="",$P42=""),"",IF($O42&lt;$P42,"Copilot",IF($P42&lt;$O42,"Other","Tie")))</f>
        <v/>
      </c>
      <c r="R42" s="20" t="n"/>
    </row>
    <row r="43">
      <c r="A43" s="19" t="n"/>
      <c r="B43" s="20" t="n"/>
      <c r="C43" s="20" t="n"/>
      <c r="D43" s="21" t="n"/>
      <c r="E43" s="21" t="n"/>
      <c r="F43" s="21" t="n"/>
      <c r="G43" s="20" t="n"/>
      <c r="H43" s="20" t="n"/>
      <c r="I43" s="21" t="n"/>
      <c r="J43" s="20" t="n"/>
      <c r="K43" s="20" t="n"/>
      <c r="L43" s="21" t="n"/>
      <c r="M43" s="21" t="n"/>
      <c r="N43" s="22">
        <f>IF(OR($L43="",$M43=""),"",$M43-($M43*Settings!$B$5)-Settings!$B$6-Settings!$B$7-Settings!$B$8-$L43-Settings!$B$9)</f>
        <v/>
      </c>
      <c r="O43" s="23">
        <f>IF(OR($E43="",$M43="",$M43=0),"",ABS($E43-$M43)/$M43)</f>
        <v/>
      </c>
      <c r="P43" s="23">
        <f>IF(OR($I43="",$M43="",$M43=0),"",ABS($I43-$M43)/$M43)</f>
        <v/>
      </c>
      <c r="Q43" s="24">
        <f>IF(OR($O43="",$P43=""),"",IF($O43&lt;$P43,"Copilot",IF($P43&lt;$O43,"Other","Tie")))</f>
        <v/>
      </c>
      <c r="R43" s="20" t="n"/>
    </row>
    <row r="44">
      <c r="A44" s="19" t="n"/>
      <c r="B44" s="20" t="n"/>
      <c r="C44" s="20" t="n"/>
      <c r="D44" s="21" t="n"/>
      <c r="E44" s="21" t="n"/>
      <c r="F44" s="21" t="n"/>
      <c r="G44" s="20" t="n"/>
      <c r="H44" s="20" t="n"/>
      <c r="I44" s="21" t="n"/>
      <c r="J44" s="20" t="n"/>
      <c r="K44" s="20" t="n"/>
      <c r="L44" s="21" t="n"/>
      <c r="M44" s="21" t="n"/>
      <c r="N44" s="22">
        <f>IF(OR($L44="",$M44=""),"",$M44-($M44*Settings!$B$5)-Settings!$B$6-Settings!$B$7-Settings!$B$8-$L44-Settings!$B$9)</f>
        <v/>
      </c>
      <c r="O44" s="23">
        <f>IF(OR($E44="",$M44="",$M44=0),"",ABS($E44-$M44)/$M44)</f>
        <v/>
      </c>
      <c r="P44" s="23">
        <f>IF(OR($I44="",$M44="",$M44=0),"",ABS($I44-$M44)/$M44)</f>
        <v/>
      </c>
      <c r="Q44" s="24">
        <f>IF(OR($O44="",$P44=""),"",IF($O44&lt;$P44,"Copilot",IF($P44&lt;$O44,"Other","Tie")))</f>
        <v/>
      </c>
      <c r="R44" s="20" t="n"/>
    </row>
    <row r="45">
      <c r="A45" s="19" t="n"/>
      <c r="B45" s="20" t="n"/>
      <c r="C45" s="20" t="n"/>
      <c r="D45" s="21" t="n"/>
      <c r="E45" s="21" t="n"/>
      <c r="F45" s="21" t="n"/>
      <c r="G45" s="20" t="n"/>
      <c r="H45" s="20" t="n"/>
      <c r="I45" s="21" t="n"/>
      <c r="J45" s="20" t="n"/>
      <c r="K45" s="20" t="n"/>
      <c r="L45" s="21" t="n"/>
      <c r="M45" s="21" t="n"/>
      <c r="N45" s="22">
        <f>IF(OR($L45="",$M45=""),"",$M45-($M45*Settings!$B$5)-Settings!$B$6-Settings!$B$7-Settings!$B$8-$L45-Settings!$B$9)</f>
        <v/>
      </c>
      <c r="O45" s="23">
        <f>IF(OR($E45="",$M45="",$M45=0),"",ABS($E45-$M45)/$M45)</f>
        <v/>
      </c>
      <c r="P45" s="23">
        <f>IF(OR($I45="",$M45="",$M45=0),"",ABS($I45-$M45)/$M45)</f>
        <v/>
      </c>
      <c r="Q45" s="24">
        <f>IF(OR($O45="",$P45=""),"",IF($O45&lt;$P45,"Copilot",IF($P45&lt;$O45,"Other","Tie")))</f>
        <v/>
      </c>
      <c r="R45" s="20" t="n"/>
    </row>
    <row r="46">
      <c r="A46" s="19" t="n"/>
      <c r="B46" s="20" t="n"/>
      <c r="C46" s="20" t="n"/>
      <c r="D46" s="21" t="n"/>
      <c r="E46" s="21" t="n"/>
      <c r="F46" s="21" t="n"/>
      <c r="G46" s="20" t="n"/>
      <c r="H46" s="20" t="n"/>
      <c r="I46" s="21" t="n"/>
      <c r="J46" s="20" t="n"/>
      <c r="K46" s="20" t="n"/>
      <c r="L46" s="21" t="n"/>
      <c r="M46" s="21" t="n"/>
      <c r="N46" s="22">
        <f>IF(OR($L46="",$M46=""),"",$M46-($M46*Settings!$B$5)-Settings!$B$6-Settings!$B$7-Settings!$B$8-$L46-Settings!$B$9)</f>
        <v/>
      </c>
      <c r="O46" s="23">
        <f>IF(OR($E46="",$M46="",$M46=0),"",ABS($E46-$M46)/$M46)</f>
        <v/>
      </c>
      <c r="P46" s="23">
        <f>IF(OR($I46="",$M46="",$M46=0),"",ABS($I46-$M46)/$M46)</f>
        <v/>
      </c>
      <c r="Q46" s="24">
        <f>IF(OR($O46="",$P46=""),"",IF($O46&lt;$P46,"Copilot",IF($P46&lt;$O46,"Other","Tie")))</f>
        <v/>
      </c>
      <c r="R46" s="20" t="n"/>
    </row>
    <row r="47">
      <c r="A47" s="19" t="n"/>
      <c r="B47" s="20" t="n"/>
      <c r="C47" s="20" t="n"/>
      <c r="D47" s="21" t="n"/>
      <c r="E47" s="21" t="n"/>
      <c r="F47" s="21" t="n"/>
      <c r="G47" s="20" t="n"/>
      <c r="H47" s="20" t="n"/>
      <c r="I47" s="21" t="n"/>
      <c r="J47" s="20" t="n"/>
      <c r="K47" s="20" t="n"/>
      <c r="L47" s="21" t="n"/>
      <c r="M47" s="21" t="n"/>
      <c r="N47" s="22">
        <f>IF(OR($L47="",$M47=""),"",$M47-($M47*Settings!$B$5)-Settings!$B$6-Settings!$B$7-Settings!$B$8-$L47-Settings!$B$9)</f>
        <v/>
      </c>
      <c r="O47" s="23">
        <f>IF(OR($E47="",$M47="",$M47=0),"",ABS($E47-$M47)/$M47)</f>
        <v/>
      </c>
      <c r="P47" s="23">
        <f>IF(OR($I47="",$M47="",$M47=0),"",ABS($I47-$M47)/$M47)</f>
        <v/>
      </c>
      <c r="Q47" s="24">
        <f>IF(OR($O47="",$P47=""),"",IF($O47&lt;$P47,"Copilot",IF($P47&lt;$O47,"Other","Tie")))</f>
        <v/>
      </c>
      <c r="R47" s="20" t="n"/>
    </row>
    <row r="48">
      <c r="A48" s="19" t="n"/>
      <c r="B48" s="20" t="n"/>
      <c r="C48" s="20" t="n"/>
      <c r="D48" s="21" t="n"/>
      <c r="E48" s="21" t="n"/>
      <c r="F48" s="21" t="n"/>
      <c r="G48" s="20" t="n"/>
      <c r="H48" s="20" t="n"/>
      <c r="I48" s="21" t="n"/>
      <c r="J48" s="20" t="n"/>
      <c r="K48" s="20" t="n"/>
      <c r="L48" s="21" t="n"/>
      <c r="M48" s="21" t="n"/>
      <c r="N48" s="22">
        <f>IF(OR($L48="",$M48=""),"",$M48-($M48*Settings!$B$5)-Settings!$B$6-Settings!$B$7-Settings!$B$8-$L48-Settings!$B$9)</f>
        <v/>
      </c>
      <c r="O48" s="23">
        <f>IF(OR($E48="",$M48="",$M48=0),"",ABS($E48-$M48)/$M48)</f>
        <v/>
      </c>
      <c r="P48" s="23">
        <f>IF(OR($I48="",$M48="",$M48=0),"",ABS($I48-$M48)/$M48)</f>
        <v/>
      </c>
      <c r="Q48" s="24">
        <f>IF(OR($O48="",$P48=""),"",IF($O48&lt;$P48,"Copilot",IF($P48&lt;$O48,"Other","Tie")))</f>
        <v/>
      </c>
      <c r="R48" s="20" t="n"/>
    </row>
    <row r="49">
      <c r="A49" s="19" t="n"/>
      <c r="B49" s="20" t="n"/>
      <c r="C49" s="20" t="n"/>
      <c r="D49" s="21" t="n"/>
      <c r="E49" s="21" t="n"/>
      <c r="F49" s="21" t="n"/>
      <c r="G49" s="20" t="n"/>
      <c r="H49" s="20" t="n"/>
      <c r="I49" s="21" t="n"/>
      <c r="J49" s="20" t="n"/>
      <c r="K49" s="20" t="n"/>
      <c r="L49" s="21" t="n"/>
      <c r="M49" s="21" t="n"/>
      <c r="N49" s="22">
        <f>IF(OR($L49="",$M49=""),"",$M49-($M49*Settings!$B$5)-Settings!$B$6-Settings!$B$7-Settings!$B$8-$L49-Settings!$B$9)</f>
        <v/>
      </c>
      <c r="O49" s="23">
        <f>IF(OR($E49="",$M49="",$M49=0),"",ABS($E49-$M49)/$M49)</f>
        <v/>
      </c>
      <c r="P49" s="23">
        <f>IF(OR($I49="",$M49="",$M49=0),"",ABS($I49-$M49)/$M49)</f>
        <v/>
      </c>
      <c r="Q49" s="24">
        <f>IF(OR($O49="",$P49=""),"",IF($O49&lt;$P49,"Copilot",IF($P49&lt;$O49,"Other","Tie")))</f>
        <v/>
      </c>
      <c r="R49" s="20" t="n"/>
    </row>
    <row r="50">
      <c r="A50" s="19" t="n"/>
      <c r="B50" s="20" t="n"/>
      <c r="C50" s="20" t="n"/>
      <c r="D50" s="21" t="n"/>
      <c r="E50" s="21" t="n"/>
      <c r="F50" s="21" t="n"/>
      <c r="G50" s="20" t="n"/>
      <c r="H50" s="20" t="n"/>
      <c r="I50" s="21" t="n"/>
      <c r="J50" s="20" t="n"/>
      <c r="K50" s="20" t="n"/>
      <c r="L50" s="21" t="n"/>
      <c r="M50" s="21" t="n"/>
      <c r="N50" s="22">
        <f>IF(OR($L50="",$M50=""),"",$M50-($M50*Settings!$B$5)-Settings!$B$6-Settings!$B$7-Settings!$B$8-$L50-Settings!$B$9)</f>
        <v/>
      </c>
      <c r="O50" s="23">
        <f>IF(OR($E50="",$M50="",$M50=0),"",ABS($E50-$M50)/$M50)</f>
        <v/>
      </c>
      <c r="P50" s="23">
        <f>IF(OR($I50="",$M50="",$M50=0),"",ABS($I50-$M50)/$M50)</f>
        <v/>
      </c>
      <c r="Q50" s="24">
        <f>IF(OR($O50="",$P50=""),"",IF($O50&lt;$P50,"Copilot",IF($P50&lt;$O50,"Other","Tie")))</f>
        <v/>
      </c>
      <c r="R50" s="20" t="n"/>
    </row>
    <row r="51">
      <c r="A51" s="19" t="n"/>
      <c r="B51" s="20" t="n"/>
      <c r="C51" s="20" t="n"/>
      <c r="D51" s="21" t="n"/>
      <c r="E51" s="21" t="n"/>
      <c r="F51" s="21" t="n"/>
      <c r="G51" s="20" t="n"/>
      <c r="H51" s="20" t="n"/>
      <c r="I51" s="21" t="n"/>
      <c r="J51" s="20" t="n"/>
      <c r="K51" s="20" t="n"/>
      <c r="L51" s="21" t="n"/>
      <c r="M51" s="21" t="n"/>
      <c r="N51" s="22">
        <f>IF(OR($L51="",$M51=""),"",$M51-($M51*Settings!$B$5)-Settings!$B$6-Settings!$B$7-Settings!$B$8-$L51-Settings!$B$9)</f>
        <v/>
      </c>
      <c r="O51" s="23">
        <f>IF(OR($E51="",$M51="",$M51=0),"",ABS($E51-$M51)/$M51)</f>
        <v/>
      </c>
      <c r="P51" s="23">
        <f>IF(OR($I51="",$M51="",$M51=0),"",ABS($I51-$M51)/$M51)</f>
        <v/>
      </c>
      <c r="Q51" s="24">
        <f>IF(OR($O51="",$P51=""),"",IF($O51&lt;$P51,"Copilot",IF($P51&lt;$O51,"Other","Tie")))</f>
        <v/>
      </c>
      <c r="R51" s="20" t="n"/>
    </row>
    <row r="52">
      <c r="A52" s="19" t="n"/>
      <c r="B52" s="20" t="n"/>
      <c r="C52" s="20" t="n"/>
      <c r="D52" s="21" t="n"/>
      <c r="E52" s="21" t="n"/>
      <c r="F52" s="21" t="n"/>
      <c r="G52" s="20" t="n"/>
      <c r="H52" s="20" t="n"/>
      <c r="I52" s="21" t="n"/>
      <c r="J52" s="20" t="n"/>
      <c r="K52" s="20" t="n"/>
      <c r="L52" s="21" t="n"/>
      <c r="M52" s="21" t="n"/>
      <c r="N52" s="22">
        <f>IF(OR($L52="",$M52=""),"",$M52-($M52*Settings!$B$5)-Settings!$B$6-Settings!$B$7-Settings!$B$8-$L52-Settings!$B$9)</f>
        <v/>
      </c>
      <c r="O52" s="23">
        <f>IF(OR($E52="",$M52="",$M52=0),"",ABS($E52-$M52)/$M52)</f>
        <v/>
      </c>
      <c r="P52" s="23">
        <f>IF(OR($I52="",$M52="",$M52=0),"",ABS($I52-$M52)/$M52)</f>
        <v/>
      </c>
      <c r="Q52" s="24">
        <f>IF(OR($O52="",$P52=""),"",IF($O52&lt;$P52,"Copilot",IF($P52&lt;$O52,"Other","Tie")))</f>
        <v/>
      </c>
      <c r="R52" s="20" t="n"/>
    </row>
    <row r="53">
      <c r="A53" s="19" t="n"/>
      <c r="B53" s="20" t="n"/>
      <c r="C53" s="20" t="n"/>
      <c r="D53" s="21" t="n"/>
      <c r="E53" s="21" t="n"/>
      <c r="F53" s="21" t="n"/>
      <c r="G53" s="20" t="n"/>
      <c r="H53" s="20" t="n"/>
      <c r="I53" s="21" t="n"/>
      <c r="J53" s="20" t="n"/>
      <c r="K53" s="20" t="n"/>
      <c r="L53" s="21" t="n"/>
      <c r="M53" s="21" t="n"/>
      <c r="N53" s="22">
        <f>IF(OR($L53="",$M53=""),"",$M53-($M53*Settings!$B$5)-Settings!$B$6-Settings!$B$7-Settings!$B$8-$L53-Settings!$B$9)</f>
        <v/>
      </c>
      <c r="O53" s="23">
        <f>IF(OR($E53="",$M53="",$M53=0),"",ABS($E53-$M53)/$M53)</f>
        <v/>
      </c>
      <c r="P53" s="23">
        <f>IF(OR($I53="",$M53="",$M53=0),"",ABS($I53-$M53)/$M53)</f>
        <v/>
      </c>
      <c r="Q53" s="24">
        <f>IF(OR($O53="",$P53=""),"",IF($O53&lt;$P53,"Copilot",IF($P53&lt;$O53,"Other","Tie")))</f>
        <v/>
      </c>
      <c r="R53" s="20" t="n"/>
    </row>
    <row r="54">
      <c r="A54" s="19" t="n"/>
      <c r="B54" s="20" t="n"/>
      <c r="C54" s="20" t="n"/>
      <c r="D54" s="21" t="n"/>
      <c r="E54" s="21" t="n"/>
      <c r="F54" s="21" t="n"/>
      <c r="G54" s="20" t="n"/>
      <c r="H54" s="20" t="n"/>
      <c r="I54" s="21" t="n"/>
      <c r="J54" s="20" t="n"/>
      <c r="K54" s="20" t="n"/>
      <c r="L54" s="21" t="n"/>
      <c r="M54" s="21" t="n"/>
      <c r="N54" s="22">
        <f>IF(OR($L54="",$M54=""),"",$M54-($M54*Settings!$B$5)-Settings!$B$6-Settings!$B$7-Settings!$B$8-$L54-Settings!$B$9)</f>
        <v/>
      </c>
      <c r="O54" s="23">
        <f>IF(OR($E54="",$M54="",$M54=0),"",ABS($E54-$M54)/$M54)</f>
        <v/>
      </c>
      <c r="P54" s="23">
        <f>IF(OR($I54="",$M54="",$M54=0),"",ABS($I54-$M54)/$M54)</f>
        <v/>
      </c>
      <c r="Q54" s="24">
        <f>IF(OR($O54="",$P54=""),"",IF($O54&lt;$P54,"Copilot",IF($P54&lt;$O54,"Other","Tie")))</f>
        <v/>
      </c>
      <c r="R54" s="20" t="n"/>
    </row>
    <row r="55">
      <c r="A55" s="19" t="n"/>
      <c r="B55" s="20" t="n"/>
      <c r="C55" s="20" t="n"/>
      <c r="D55" s="21" t="n"/>
      <c r="E55" s="21" t="n"/>
      <c r="F55" s="21" t="n"/>
      <c r="G55" s="20" t="n"/>
      <c r="H55" s="20" t="n"/>
      <c r="I55" s="21" t="n"/>
      <c r="J55" s="20" t="n"/>
      <c r="K55" s="20" t="n"/>
      <c r="L55" s="21" t="n"/>
      <c r="M55" s="21" t="n"/>
      <c r="N55" s="22">
        <f>IF(OR($L55="",$M55=""),"",$M55-($M55*Settings!$B$5)-Settings!$B$6-Settings!$B$7-Settings!$B$8-$L55-Settings!$B$9)</f>
        <v/>
      </c>
      <c r="O55" s="23">
        <f>IF(OR($E55="",$M55="",$M55=0),"",ABS($E55-$M55)/$M55)</f>
        <v/>
      </c>
      <c r="P55" s="23">
        <f>IF(OR($I55="",$M55="",$M55=0),"",ABS($I55-$M55)/$M55)</f>
        <v/>
      </c>
      <c r="Q55" s="24">
        <f>IF(OR($O55="",$P55=""),"",IF($O55&lt;$P55,"Copilot",IF($P55&lt;$O55,"Other","Tie")))</f>
        <v/>
      </c>
      <c r="R55" s="20" t="n"/>
    </row>
    <row r="56">
      <c r="A56" s="19" t="n"/>
      <c r="B56" s="20" t="n"/>
      <c r="C56" s="20" t="n"/>
      <c r="D56" s="21" t="n"/>
      <c r="E56" s="21" t="n"/>
      <c r="F56" s="21" t="n"/>
      <c r="G56" s="20" t="n"/>
      <c r="H56" s="20" t="n"/>
      <c r="I56" s="21" t="n"/>
      <c r="J56" s="20" t="n"/>
      <c r="K56" s="20" t="n"/>
      <c r="L56" s="21" t="n"/>
      <c r="M56" s="21" t="n"/>
      <c r="N56" s="22">
        <f>IF(OR($L56="",$M56=""),"",$M56-($M56*Settings!$B$5)-Settings!$B$6-Settings!$B$7-Settings!$B$8-$L56-Settings!$B$9)</f>
        <v/>
      </c>
      <c r="O56" s="23">
        <f>IF(OR($E56="",$M56="",$M56=0),"",ABS($E56-$M56)/$M56)</f>
        <v/>
      </c>
      <c r="P56" s="23">
        <f>IF(OR($I56="",$M56="",$M56=0),"",ABS($I56-$M56)/$M56)</f>
        <v/>
      </c>
      <c r="Q56" s="24">
        <f>IF(OR($O56="",$P56=""),"",IF($O56&lt;$P56,"Copilot",IF($P56&lt;$O56,"Other","Tie")))</f>
        <v/>
      </c>
      <c r="R56" s="20" t="n"/>
    </row>
    <row r="57">
      <c r="A57" s="19" t="n"/>
      <c r="B57" s="20" t="n"/>
      <c r="C57" s="20" t="n"/>
      <c r="D57" s="21" t="n"/>
      <c r="E57" s="21" t="n"/>
      <c r="F57" s="21" t="n"/>
      <c r="G57" s="20" t="n"/>
      <c r="H57" s="20" t="n"/>
      <c r="I57" s="21" t="n"/>
      <c r="J57" s="20" t="n"/>
      <c r="K57" s="20" t="n"/>
      <c r="L57" s="21" t="n"/>
      <c r="M57" s="21" t="n"/>
      <c r="N57" s="22">
        <f>IF(OR($L57="",$M57=""),"",$M57-($M57*Settings!$B$5)-Settings!$B$6-Settings!$B$7-Settings!$B$8-$L57-Settings!$B$9)</f>
        <v/>
      </c>
      <c r="O57" s="23">
        <f>IF(OR($E57="",$M57="",$M57=0),"",ABS($E57-$M57)/$M57)</f>
        <v/>
      </c>
      <c r="P57" s="23">
        <f>IF(OR($I57="",$M57="",$M57=0),"",ABS($I57-$M57)/$M57)</f>
        <v/>
      </c>
      <c r="Q57" s="24">
        <f>IF(OR($O57="",$P57=""),"",IF($O57&lt;$P57,"Copilot",IF($P57&lt;$O57,"Other","Tie")))</f>
        <v/>
      </c>
      <c r="R57" s="20" t="n"/>
    </row>
    <row r="58">
      <c r="A58" s="19" t="n"/>
      <c r="B58" s="20" t="n"/>
      <c r="C58" s="20" t="n"/>
      <c r="D58" s="21" t="n"/>
      <c r="E58" s="21" t="n"/>
      <c r="F58" s="21" t="n"/>
      <c r="G58" s="20" t="n"/>
      <c r="H58" s="20" t="n"/>
      <c r="I58" s="21" t="n"/>
      <c r="J58" s="20" t="n"/>
      <c r="K58" s="20" t="n"/>
      <c r="L58" s="21" t="n"/>
      <c r="M58" s="21" t="n"/>
      <c r="N58" s="22">
        <f>IF(OR($L58="",$M58=""),"",$M58-($M58*Settings!$B$5)-Settings!$B$6-Settings!$B$7-Settings!$B$8-$L58-Settings!$B$9)</f>
        <v/>
      </c>
      <c r="O58" s="23">
        <f>IF(OR($E58="",$M58="",$M58=0),"",ABS($E58-$M58)/$M58)</f>
        <v/>
      </c>
      <c r="P58" s="23">
        <f>IF(OR($I58="",$M58="",$M58=0),"",ABS($I58-$M58)/$M58)</f>
        <v/>
      </c>
      <c r="Q58" s="24">
        <f>IF(OR($O58="",$P58=""),"",IF($O58&lt;$P58,"Copilot",IF($P58&lt;$O58,"Other","Tie")))</f>
        <v/>
      </c>
      <c r="R58" s="20" t="n"/>
    </row>
    <row r="59">
      <c r="A59" s="19" t="n"/>
      <c r="B59" s="20" t="n"/>
      <c r="C59" s="20" t="n"/>
      <c r="D59" s="21" t="n"/>
      <c r="E59" s="21" t="n"/>
      <c r="F59" s="21" t="n"/>
      <c r="G59" s="20" t="n"/>
      <c r="H59" s="20" t="n"/>
      <c r="I59" s="21" t="n"/>
      <c r="J59" s="20" t="n"/>
      <c r="K59" s="20" t="n"/>
      <c r="L59" s="21" t="n"/>
      <c r="M59" s="21" t="n"/>
      <c r="N59" s="22">
        <f>IF(OR($L59="",$M59=""),"",$M59-($M59*Settings!$B$5)-Settings!$B$6-Settings!$B$7-Settings!$B$8-$L59-Settings!$B$9)</f>
        <v/>
      </c>
      <c r="O59" s="23">
        <f>IF(OR($E59="",$M59="",$M59=0),"",ABS($E59-$M59)/$M59)</f>
        <v/>
      </c>
      <c r="P59" s="23">
        <f>IF(OR($I59="",$M59="",$M59=0),"",ABS($I59-$M59)/$M59)</f>
        <v/>
      </c>
      <c r="Q59" s="24">
        <f>IF(OR($O59="",$P59=""),"",IF($O59&lt;$P59,"Copilot",IF($P59&lt;$O59,"Other","Tie")))</f>
        <v/>
      </c>
      <c r="R59" s="20" t="n"/>
    </row>
    <row r="60">
      <c r="A60" s="19" t="n"/>
      <c r="B60" s="20" t="n"/>
      <c r="C60" s="20" t="n"/>
      <c r="D60" s="21" t="n"/>
      <c r="E60" s="21" t="n"/>
      <c r="F60" s="21" t="n"/>
      <c r="G60" s="20" t="n"/>
      <c r="H60" s="20" t="n"/>
      <c r="I60" s="21" t="n"/>
      <c r="J60" s="20" t="n"/>
      <c r="K60" s="20" t="n"/>
      <c r="L60" s="21" t="n"/>
      <c r="M60" s="21" t="n"/>
      <c r="N60" s="22">
        <f>IF(OR($L60="",$M60=""),"",$M60-($M60*Settings!$B$5)-Settings!$B$6-Settings!$B$7-Settings!$B$8-$L60-Settings!$B$9)</f>
        <v/>
      </c>
      <c r="O60" s="23">
        <f>IF(OR($E60="",$M60="",$M60=0),"",ABS($E60-$M60)/$M60)</f>
        <v/>
      </c>
      <c r="P60" s="23">
        <f>IF(OR($I60="",$M60="",$M60=0),"",ABS($I60-$M60)/$M60)</f>
        <v/>
      </c>
      <c r="Q60" s="24">
        <f>IF(OR($O60="",$P60=""),"",IF($O60&lt;$P60,"Copilot",IF($P60&lt;$O60,"Other","Tie")))</f>
        <v/>
      </c>
      <c r="R60" s="20" t="n"/>
    </row>
    <row r="61">
      <c r="A61" s="19" t="n"/>
      <c r="B61" s="20" t="n"/>
      <c r="C61" s="20" t="n"/>
      <c r="D61" s="21" t="n"/>
      <c r="E61" s="21" t="n"/>
      <c r="F61" s="21" t="n"/>
      <c r="G61" s="20" t="n"/>
      <c r="H61" s="20" t="n"/>
      <c r="I61" s="21" t="n"/>
      <c r="J61" s="20" t="n"/>
      <c r="K61" s="20" t="n"/>
      <c r="L61" s="21" t="n"/>
      <c r="M61" s="21" t="n"/>
      <c r="N61" s="22">
        <f>IF(OR($L61="",$M61=""),"",$M61-($M61*Settings!$B$5)-Settings!$B$6-Settings!$B$7-Settings!$B$8-$L61-Settings!$B$9)</f>
        <v/>
      </c>
      <c r="O61" s="23">
        <f>IF(OR($E61="",$M61="",$M61=0),"",ABS($E61-$M61)/$M61)</f>
        <v/>
      </c>
      <c r="P61" s="23">
        <f>IF(OR($I61="",$M61="",$M61=0),"",ABS($I61-$M61)/$M61)</f>
        <v/>
      </c>
      <c r="Q61" s="24">
        <f>IF(OR($O61="",$P61=""),"",IF($O61&lt;$P61,"Copilot",IF($P61&lt;$O61,"Other","Tie")))</f>
        <v/>
      </c>
      <c r="R61" s="20" t="n"/>
    </row>
    <row r="62">
      <c r="A62" s="19" t="n"/>
      <c r="B62" s="20" t="n"/>
      <c r="C62" s="20" t="n"/>
      <c r="D62" s="21" t="n"/>
      <c r="E62" s="21" t="n"/>
      <c r="F62" s="21" t="n"/>
      <c r="G62" s="20" t="n"/>
      <c r="H62" s="20" t="n"/>
      <c r="I62" s="21" t="n"/>
      <c r="J62" s="20" t="n"/>
      <c r="K62" s="20" t="n"/>
      <c r="L62" s="21" t="n"/>
      <c r="M62" s="21" t="n"/>
      <c r="N62" s="22">
        <f>IF(OR($L62="",$M62=""),"",$M62-($M62*Settings!$B$5)-Settings!$B$6-Settings!$B$7-Settings!$B$8-$L62-Settings!$B$9)</f>
        <v/>
      </c>
      <c r="O62" s="23">
        <f>IF(OR($E62="",$M62="",$M62=0),"",ABS($E62-$M62)/$M62)</f>
        <v/>
      </c>
      <c r="P62" s="23">
        <f>IF(OR($I62="",$M62="",$M62=0),"",ABS($I62-$M62)/$M62)</f>
        <v/>
      </c>
      <c r="Q62" s="24">
        <f>IF(OR($O62="",$P62=""),"",IF($O62&lt;$P62,"Copilot",IF($P62&lt;$O62,"Other","Tie")))</f>
        <v/>
      </c>
      <c r="R62" s="20" t="n"/>
    </row>
    <row r="63">
      <c r="A63" s="19" t="n"/>
      <c r="B63" s="20" t="n"/>
      <c r="C63" s="20" t="n"/>
      <c r="D63" s="21" t="n"/>
      <c r="E63" s="21" t="n"/>
      <c r="F63" s="21" t="n"/>
      <c r="G63" s="20" t="n"/>
      <c r="H63" s="20" t="n"/>
      <c r="I63" s="21" t="n"/>
      <c r="J63" s="20" t="n"/>
      <c r="K63" s="20" t="n"/>
      <c r="L63" s="21" t="n"/>
      <c r="M63" s="21" t="n"/>
      <c r="N63" s="22">
        <f>IF(OR($L63="",$M63=""),"",$M63-($M63*Settings!$B$5)-Settings!$B$6-Settings!$B$7-Settings!$B$8-$L63-Settings!$B$9)</f>
        <v/>
      </c>
      <c r="O63" s="23">
        <f>IF(OR($E63="",$M63="",$M63=0),"",ABS($E63-$M63)/$M63)</f>
        <v/>
      </c>
      <c r="P63" s="23">
        <f>IF(OR($I63="",$M63="",$M63=0),"",ABS($I63-$M63)/$M63)</f>
        <v/>
      </c>
      <c r="Q63" s="24">
        <f>IF(OR($O63="",$P63=""),"",IF($O63&lt;$P63,"Copilot",IF($P63&lt;$O63,"Other","Tie")))</f>
        <v/>
      </c>
      <c r="R63" s="20" t="n"/>
    </row>
    <row r="64">
      <c r="A64" s="19" t="n"/>
      <c r="B64" s="20" t="n"/>
      <c r="C64" s="20" t="n"/>
      <c r="D64" s="21" t="n"/>
      <c r="E64" s="21" t="n"/>
      <c r="F64" s="21" t="n"/>
      <c r="G64" s="20" t="n"/>
      <c r="H64" s="20" t="n"/>
      <c r="I64" s="21" t="n"/>
      <c r="J64" s="20" t="n"/>
      <c r="K64" s="20" t="n"/>
      <c r="L64" s="21" t="n"/>
      <c r="M64" s="21" t="n"/>
      <c r="N64" s="22">
        <f>IF(OR($L64="",$M64=""),"",$M64-($M64*Settings!$B$5)-Settings!$B$6-Settings!$B$7-Settings!$B$8-$L64-Settings!$B$9)</f>
        <v/>
      </c>
      <c r="O64" s="23">
        <f>IF(OR($E64="",$M64="",$M64=0),"",ABS($E64-$M64)/$M64)</f>
        <v/>
      </c>
      <c r="P64" s="23">
        <f>IF(OR($I64="",$M64="",$M64=0),"",ABS($I64-$M64)/$M64)</f>
        <v/>
      </c>
      <c r="Q64" s="24">
        <f>IF(OR($O64="",$P64=""),"",IF($O64&lt;$P64,"Copilot",IF($P64&lt;$O64,"Other","Tie")))</f>
        <v/>
      </c>
      <c r="R64" s="20" t="n"/>
    </row>
    <row r="65">
      <c r="A65" s="19" t="n"/>
      <c r="B65" s="20" t="n"/>
      <c r="C65" s="20" t="n"/>
      <c r="D65" s="21" t="n"/>
      <c r="E65" s="21" t="n"/>
      <c r="F65" s="21" t="n"/>
      <c r="G65" s="20" t="n"/>
      <c r="H65" s="20" t="n"/>
      <c r="I65" s="21" t="n"/>
      <c r="J65" s="20" t="n"/>
      <c r="K65" s="20" t="n"/>
      <c r="L65" s="21" t="n"/>
      <c r="M65" s="21" t="n"/>
      <c r="N65" s="22">
        <f>IF(OR($L65="",$M65=""),"",$M65-($M65*Settings!$B$5)-Settings!$B$6-Settings!$B$7-Settings!$B$8-$L65-Settings!$B$9)</f>
        <v/>
      </c>
      <c r="O65" s="23">
        <f>IF(OR($E65="",$M65="",$M65=0),"",ABS($E65-$M65)/$M65)</f>
        <v/>
      </c>
      <c r="P65" s="23">
        <f>IF(OR($I65="",$M65="",$M65=0),"",ABS($I65-$M65)/$M65)</f>
        <v/>
      </c>
      <c r="Q65" s="24">
        <f>IF(OR($O65="",$P65=""),"",IF($O65&lt;$P65,"Copilot",IF($P65&lt;$O65,"Other","Tie")))</f>
        <v/>
      </c>
      <c r="R65" s="20" t="n"/>
    </row>
    <row r="66">
      <c r="A66" s="19" t="n"/>
      <c r="B66" s="20" t="n"/>
      <c r="C66" s="20" t="n"/>
      <c r="D66" s="21" t="n"/>
      <c r="E66" s="21" t="n"/>
      <c r="F66" s="21" t="n"/>
      <c r="G66" s="20" t="n"/>
      <c r="H66" s="20" t="n"/>
      <c r="I66" s="21" t="n"/>
      <c r="J66" s="20" t="n"/>
      <c r="K66" s="20" t="n"/>
      <c r="L66" s="21" t="n"/>
      <c r="M66" s="21" t="n"/>
      <c r="N66" s="22">
        <f>IF(OR($L66="",$M66=""),"",$M66-($M66*Settings!$B$5)-Settings!$B$6-Settings!$B$7-Settings!$B$8-$L66-Settings!$B$9)</f>
        <v/>
      </c>
      <c r="O66" s="23">
        <f>IF(OR($E66="",$M66="",$M66=0),"",ABS($E66-$M66)/$M66)</f>
        <v/>
      </c>
      <c r="P66" s="23">
        <f>IF(OR($I66="",$M66="",$M66=0),"",ABS($I66-$M66)/$M66)</f>
        <v/>
      </c>
      <c r="Q66" s="24">
        <f>IF(OR($O66="",$P66=""),"",IF($O66&lt;$P66,"Copilot",IF($P66&lt;$O66,"Other","Tie")))</f>
        <v/>
      </c>
      <c r="R66" s="20" t="n"/>
    </row>
    <row r="67">
      <c r="A67" s="19" t="n"/>
      <c r="B67" s="20" t="n"/>
      <c r="C67" s="20" t="n"/>
      <c r="D67" s="21" t="n"/>
      <c r="E67" s="21" t="n"/>
      <c r="F67" s="21" t="n"/>
      <c r="G67" s="20" t="n"/>
      <c r="H67" s="20" t="n"/>
      <c r="I67" s="21" t="n"/>
      <c r="J67" s="20" t="n"/>
      <c r="K67" s="20" t="n"/>
      <c r="L67" s="21" t="n"/>
      <c r="M67" s="21" t="n"/>
      <c r="N67" s="22">
        <f>IF(OR($L67="",$M67=""),"",$M67-($M67*Settings!$B$5)-Settings!$B$6-Settings!$B$7-Settings!$B$8-$L67-Settings!$B$9)</f>
        <v/>
      </c>
      <c r="O67" s="23">
        <f>IF(OR($E67="",$M67="",$M67=0),"",ABS($E67-$M67)/$M67)</f>
        <v/>
      </c>
      <c r="P67" s="23">
        <f>IF(OR($I67="",$M67="",$M67=0),"",ABS($I67-$M67)/$M67)</f>
        <v/>
      </c>
      <c r="Q67" s="24">
        <f>IF(OR($O67="",$P67=""),"",IF($O67&lt;$P67,"Copilot",IF($P67&lt;$O67,"Other","Tie")))</f>
        <v/>
      </c>
      <c r="R67" s="20" t="n"/>
    </row>
    <row r="68">
      <c r="A68" s="19" t="n"/>
      <c r="B68" s="20" t="n"/>
      <c r="C68" s="20" t="n"/>
      <c r="D68" s="21" t="n"/>
      <c r="E68" s="21" t="n"/>
      <c r="F68" s="21" t="n"/>
      <c r="G68" s="20" t="n"/>
      <c r="H68" s="20" t="n"/>
      <c r="I68" s="21" t="n"/>
      <c r="J68" s="20" t="n"/>
      <c r="K68" s="20" t="n"/>
      <c r="L68" s="21" t="n"/>
      <c r="M68" s="21" t="n"/>
      <c r="N68" s="22">
        <f>IF(OR($L68="",$M68=""),"",$M68-($M68*Settings!$B$5)-Settings!$B$6-Settings!$B$7-Settings!$B$8-$L68-Settings!$B$9)</f>
        <v/>
      </c>
      <c r="O68" s="23">
        <f>IF(OR($E68="",$M68="",$M68=0),"",ABS($E68-$M68)/$M68)</f>
        <v/>
      </c>
      <c r="P68" s="23">
        <f>IF(OR($I68="",$M68="",$M68=0),"",ABS($I68-$M68)/$M68)</f>
        <v/>
      </c>
      <c r="Q68" s="24">
        <f>IF(OR($O68="",$P68=""),"",IF($O68&lt;$P68,"Copilot",IF($P68&lt;$O68,"Other","Tie")))</f>
        <v/>
      </c>
      <c r="R68" s="20" t="n"/>
    </row>
    <row r="69">
      <c r="A69" s="19" t="n"/>
      <c r="B69" s="20" t="n"/>
      <c r="C69" s="20" t="n"/>
      <c r="D69" s="21" t="n"/>
      <c r="E69" s="21" t="n"/>
      <c r="F69" s="21" t="n"/>
      <c r="G69" s="20" t="n"/>
      <c r="H69" s="20" t="n"/>
      <c r="I69" s="21" t="n"/>
      <c r="J69" s="20" t="n"/>
      <c r="K69" s="20" t="n"/>
      <c r="L69" s="21" t="n"/>
      <c r="M69" s="21" t="n"/>
      <c r="N69" s="22">
        <f>IF(OR($L69="",$M69=""),"",$M69-($M69*Settings!$B$5)-Settings!$B$6-Settings!$B$7-Settings!$B$8-$L69-Settings!$B$9)</f>
        <v/>
      </c>
      <c r="O69" s="23">
        <f>IF(OR($E69="",$M69="",$M69=0),"",ABS($E69-$M69)/$M69)</f>
        <v/>
      </c>
      <c r="P69" s="23">
        <f>IF(OR($I69="",$M69="",$M69=0),"",ABS($I69-$M69)/$M69)</f>
        <v/>
      </c>
      <c r="Q69" s="24">
        <f>IF(OR($O69="",$P69=""),"",IF($O69&lt;$P69,"Copilot",IF($P69&lt;$O69,"Other","Tie")))</f>
        <v/>
      </c>
      <c r="R69" s="20" t="n"/>
    </row>
    <row r="70">
      <c r="A70" s="19" t="n"/>
      <c r="B70" s="20" t="n"/>
      <c r="C70" s="20" t="n"/>
      <c r="D70" s="21" t="n"/>
      <c r="E70" s="21" t="n"/>
      <c r="F70" s="21" t="n"/>
      <c r="G70" s="20" t="n"/>
      <c r="H70" s="20" t="n"/>
      <c r="I70" s="21" t="n"/>
      <c r="J70" s="20" t="n"/>
      <c r="K70" s="20" t="n"/>
      <c r="L70" s="21" t="n"/>
      <c r="M70" s="21" t="n"/>
      <c r="N70" s="22">
        <f>IF(OR($L70="",$M70=""),"",$M70-($M70*Settings!$B$5)-Settings!$B$6-Settings!$B$7-Settings!$B$8-$L70-Settings!$B$9)</f>
        <v/>
      </c>
      <c r="O70" s="23">
        <f>IF(OR($E70="",$M70="",$M70=0),"",ABS($E70-$M70)/$M70)</f>
        <v/>
      </c>
      <c r="P70" s="23">
        <f>IF(OR($I70="",$M70="",$M70=0),"",ABS($I70-$M70)/$M70)</f>
        <v/>
      </c>
      <c r="Q70" s="24">
        <f>IF(OR($O70="",$P70=""),"",IF($O70&lt;$P70,"Copilot",IF($P70&lt;$O70,"Other","Tie")))</f>
        <v/>
      </c>
      <c r="R70" s="20" t="n"/>
    </row>
    <row r="71">
      <c r="A71" s="19" t="n"/>
      <c r="B71" s="20" t="n"/>
      <c r="C71" s="20" t="n"/>
      <c r="D71" s="21" t="n"/>
      <c r="E71" s="21" t="n"/>
      <c r="F71" s="21" t="n"/>
      <c r="G71" s="20" t="n"/>
      <c r="H71" s="20" t="n"/>
      <c r="I71" s="21" t="n"/>
      <c r="J71" s="20" t="n"/>
      <c r="K71" s="20" t="n"/>
      <c r="L71" s="21" t="n"/>
      <c r="M71" s="21" t="n"/>
      <c r="N71" s="22">
        <f>IF(OR($L71="",$M71=""),"",$M71-($M71*Settings!$B$5)-Settings!$B$6-Settings!$B$7-Settings!$B$8-$L71-Settings!$B$9)</f>
        <v/>
      </c>
      <c r="O71" s="23">
        <f>IF(OR($E71="",$M71="",$M71=0),"",ABS($E71-$M71)/$M71)</f>
        <v/>
      </c>
      <c r="P71" s="23">
        <f>IF(OR($I71="",$M71="",$M71=0),"",ABS($I71-$M71)/$M71)</f>
        <v/>
      </c>
      <c r="Q71" s="24">
        <f>IF(OR($O71="",$P71=""),"",IF($O71&lt;$P71,"Copilot",IF($P71&lt;$O71,"Other","Tie")))</f>
        <v/>
      </c>
      <c r="R71" s="20" t="n"/>
    </row>
    <row r="72">
      <c r="A72" s="19" t="n"/>
      <c r="B72" s="20" t="n"/>
      <c r="C72" s="20" t="n"/>
      <c r="D72" s="21" t="n"/>
      <c r="E72" s="21" t="n"/>
      <c r="F72" s="21" t="n"/>
      <c r="G72" s="20" t="n"/>
      <c r="H72" s="20" t="n"/>
      <c r="I72" s="21" t="n"/>
      <c r="J72" s="20" t="n"/>
      <c r="K72" s="20" t="n"/>
      <c r="L72" s="21" t="n"/>
      <c r="M72" s="21" t="n"/>
      <c r="N72" s="22">
        <f>IF(OR($L72="",$M72=""),"",$M72-($M72*Settings!$B$5)-Settings!$B$6-Settings!$B$7-Settings!$B$8-$L72-Settings!$B$9)</f>
        <v/>
      </c>
      <c r="O72" s="23">
        <f>IF(OR($E72="",$M72="",$M72=0),"",ABS($E72-$M72)/$M72)</f>
        <v/>
      </c>
      <c r="P72" s="23">
        <f>IF(OR($I72="",$M72="",$M72=0),"",ABS($I72-$M72)/$M72)</f>
        <v/>
      </c>
      <c r="Q72" s="24">
        <f>IF(OR($O72="",$P72=""),"",IF($O72&lt;$P72,"Copilot",IF($P72&lt;$O72,"Other","Tie")))</f>
        <v/>
      </c>
      <c r="R72" s="20" t="n"/>
    </row>
    <row r="73">
      <c r="A73" s="19" t="n"/>
      <c r="B73" s="20" t="n"/>
      <c r="C73" s="20" t="n"/>
      <c r="D73" s="21" t="n"/>
      <c r="E73" s="21" t="n"/>
      <c r="F73" s="21" t="n"/>
      <c r="G73" s="20" t="n"/>
      <c r="H73" s="20" t="n"/>
      <c r="I73" s="21" t="n"/>
      <c r="J73" s="20" t="n"/>
      <c r="K73" s="20" t="n"/>
      <c r="L73" s="21" t="n"/>
      <c r="M73" s="21" t="n"/>
      <c r="N73" s="22">
        <f>IF(OR($L73="",$M73=""),"",$M73-($M73*Settings!$B$5)-Settings!$B$6-Settings!$B$7-Settings!$B$8-$L73-Settings!$B$9)</f>
        <v/>
      </c>
      <c r="O73" s="23">
        <f>IF(OR($E73="",$M73="",$M73=0),"",ABS($E73-$M73)/$M73)</f>
        <v/>
      </c>
      <c r="P73" s="23">
        <f>IF(OR($I73="",$M73="",$M73=0),"",ABS($I73-$M73)/$M73)</f>
        <v/>
      </c>
      <c r="Q73" s="24">
        <f>IF(OR($O73="",$P73=""),"",IF($O73&lt;$P73,"Copilot",IF($P73&lt;$O73,"Other","Tie")))</f>
        <v/>
      </c>
      <c r="R73" s="20" t="n"/>
    </row>
    <row r="74">
      <c r="A74" s="19" t="n"/>
      <c r="B74" s="20" t="n"/>
      <c r="C74" s="20" t="n"/>
      <c r="D74" s="21" t="n"/>
      <c r="E74" s="21" t="n"/>
      <c r="F74" s="21" t="n"/>
      <c r="G74" s="20" t="n"/>
      <c r="H74" s="20" t="n"/>
      <c r="I74" s="21" t="n"/>
      <c r="J74" s="20" t="n"/>
      <c r="K74" s="20" t="n"/>
      <c r="L74" s="21" t="n"/>
      <c r="M74" s="21" t="n"/>
      <c r="N74" s="22">
        <f>IF(OR($L74="",$M74=""),"",$M74-($M74*Settings!$B$5)-Settings!$B$6-Settings!$B$7-Settings!$B$8-$L74-Settings!$B$9)</f>
        <v/>
      </c>
      <c r="O74" s="23">
        <f>IF(OR($E74="",$M74="",$M74=0),"",ABS($E74-$M74)/$M74)</f>
        <v/>
      </c>
      <c r="P74" s="23">
        <f>IF(OR($I74="",$M74="",$M74=0),"",ABS($I74-$M74)/$M74)</f>
        <v/>
      </c>
      <c r="Q74" s="24">
        <f>IF(OR($O74="",$P74=""),"",IF($O74&lt;$P74,"Copilot",IF($P74&lt;$O74,"Other","Tie")))</f>
        <v/>
      </c>
      <c r="R74" s="20" t="n"/>
    </row>
    <row r="75">
      <c r="A75" s="19" t="n"/>
      <c r="B75" s="20" t="n"/>
      <c r="C75" s="20" t="n"/>
      <c r="D75" s="21" t="n"/>
      <c r="E75" s="21" t="n"/>
      <c r="F75" s="21" t="n"/>
      <c r="G75" s="20" t="n"/>
      <c r="H75" s="20" t="n"/>
      <c r="I75" s="21" t="n"/>
      <c r="J75" s="20" t="n"/>
      <c r="K75" s="20" t="n"/>
      <c r="L75" s="21" t="n"/>
      <c r="M75" s="21" t="n"/>
      <c r="N75" s="22">
        <f>IF(OR($L75="",$M75=""),"",$M75-($M75*Settings!$B$5)-Settings!$B$6-Settings!$B$7-Settings!$B$8-$L75-Settings!$B$9)</f>
        <v/>
      </c>
      <c r="O75" s="23">
        <f>IF(OR($E75="",$M75="",$M75=0),"",ABS($E75-$M75)/$M75)</f>
        <v/>
      </c>
      <c r="P75" s="23">
        <f>IF(OR($I75="",$M75="",$M75=0),"",ABS($I75-$M75)/$M75)</f>
        <v/>
      </c>
      <c r="Q75" s="24">
        <f>IF(OR($O75="",$P75=""),"",IF($O75&lt;$P75,"Copilot",IF($P75&lt;$O75,"Other","Tie")))</f>
        <v/>
      </c>
      <c r="R75" s="20" t="n"/>
    </row>
    <row r="76">
      <c r="A76" s="19" t="n"/>
      <c r="B76" s="20" t="n"/>
      <c r="C76" s="20" t="n"/>
      <c r="D76" s="21" t="n"/>
      <c r="E76" s="21" t="n"/>
      <c r="F76" s="21" t="n"/>
      <c r="G76" s="20" t="n"/>
      <c r="H76" s="20" t="n"/>
      <c r="I76" s="21" t="n"/>
      <c r="J76" s="20" t="n"/>
      <c r="K76" s="20" t="n"/>
      <c r="L76" s="21" t="n"/>
      <c r="M76" s="21" t="n"/>
      <c r="N76" s="22">
        <f>IF(OR($L76="",$M76=""),"",$M76-($M76*Settings!$B$5)-Settings!$B$6-Settings!$B$7-Settings!$B$8-$L76-Settings!$B$9)</f>
        <v/>
      </c>
      <c r="O76" s="23">
        <f>IF(OR($E76="",$M76="",$M76=0),"",ABS($E76-$M76)/$M76)</f>
        <v/>
      </c>
      <c r="P76" s="23">
        <f>IF(OR($I76="",$M76="",$M76=0),"",ABS($I76-$M76)/$M76)</f>
        <v/>
      </c>
      <c r="Q76" s="24">
        <f>IF(OR($O76="",$P76=""),"",IF($O76&lt;$P76,"Copilot",IF($P76&lt;$O76,"Other","Tie")))</f>
        <v/>
      </c>
      <c r="R76" s="20" t="n"/>
    </row>
    <row r="77">
      <c r="A77" s="19" t="n"/>
      <c r="B77" s="20" t="n"/>
      <c r="C77" s="20" t="n"/>
      <c r="D77" s="21" t="n"/>
      <c r="E77" s="21" t="n"/>
      <c r="F77" s="21" t="n"/>
      <c r="G77" s="20" t="n"/>
      <c r="H77" s="20" t="n"/>
      <c r="I77" s="21" t="n"/>
      <c r="J77" s="20" t="n"/>
      <c r="K77" s="20" t="n"/>
      <c r="L77" s="21" t="n"/>
      <c r="M77" s="21" t="n"/>
      <c r="N77" s="22">
        <f>IF(OR($L77="",$M77=""),"",$M77-($M77*Settings!$B$5)-Settings!$B$6-Settings!$B$7-Settings!$B$8-$L77-Settings!$B$9)</f>
        <v/>
      </c>
      <c r="O77" s="23">
        <f>IF(OR($E77="",$M77="",$M77=0),"",ABS($E77-$M77)/$M77)</f>
        <v/>
      </c>
      <c r="P77" s="23">
        <f>IF(OR($I77="",$M77="",$M77=0),"",ABS($I77-$M77)/$M77)</f>
        <v/>
      </c>
      <c r="Q77" s="24">
        <f>IF(OR($O77="",$P77=""),"",IF($O77&lt;$P77,"Copilot",IF($P77&lt;$O77,"Other","Tie")))</f>
        <v/>
      </c>
      <c r="R77" s="20" t="n"/>
    </row>
    <row r="78">
      <c r="A78" s="19" t="n"/>
      <c r="B78" s="20" t="n"/>
      <c r="C78" s="20" t="n"/>
      <c r="D78" s="21" t="n"/>
      <c r="E78" s="21" t="n"/>
      <c r="F78" s="21" t="n"/>
      <c r="G78" s="20" t="n"/>
      <c r="H78" s="20" t="n"/>
      <c r="I78" s="21" t="n"/>
      <c r="J78" s="20" t="n"/>
      <c r="K78" s="20" t="n"/>
      <c r="L78" s="21" t="n"/>
      <c r="M78" s="21" t="n"/>
      <c r="N78" s="22">
        <f>IF(OR($L78="",$M78=""),"",$M78-($M78*Settings!$B$5)-Settings!$B$6-Settings!$B$7-Settings!$B$8-$L78-Settings!$B$9)</f>
        <v/>
      </c>
      <c r="O78" s="23">
        <f>IF(OR($E78="",$M78="",$M78=0),"",ABS($E78-$M78)/$M78)</f>
        <v/>
      </c>
      <c r="P78" s="23">
        <f>IF(OR($I78="",$M78="",$M78=0),"",ABS($I78-$M78)/$M78)</f>
        <v/>
      </c>
      <c r="Q78" s="24">
        <f>IF(OR($O78="",$P78=""),"",IF($O78&lt;$P78,"Copilot",IF($P78&lt;$O78,"Other","Tie")))</f>
        <v/>
      </c>
      <c r="R78" s="20" t="n"/>
    </row>
    <row r="79">
      <c r="A79" s="19" t="n"/>
      <c r="B79" s="20" t="n"/>
      <c r="C79" s="20" t="n"/>
      <c r="D79" s="21" t="n"/>
      <c r="E79" s="21" t="n"/>
      <c r="F79" s="21" t="n"/>
      <c r="G79" s="20" t="n"/>
      <c r="H79" s="20" t="n"/>
      <c r="I79" s="21" t="n"/>
      <c r="J79" s="20" t="n"/>
      <c r="K79" s="20" t="n"/>
      <c r="L79" s="21" t="n"/>
      <c r="M79" s="21" t="n"/>
      <c r="N79" s="22">
        <f>IF(OR($L79="",$M79=""),"",$M79-($M79*Settings!$B$5)-Settings!$B$6-Settings!$B$7-Settings!$B$8-$L79-Settings!$B$9)</f>
        <v/>
      </c>
      <c r="O79" s="23">
        <f>IF(OR($E79="",$M79="",$M79=0),"",ABS($E79-$M79)/$M79)</f>
        <v/>
      </c>
      <c r="P79" s="23">
        <f>IF(OR($I79="",$M79="",$M79=0),"",ABS($I79-$M79)/$M79)</f>
        <v/>
      </c>
      <c r="Q79" s="24">
        <f>IF(OR($O79="",$P79=""),"",IF($O79&lt;$P79,"Copilot",IF($P79&lt;$O79,"Other","Tie")))</f>
        <v/>
      </c>
      <c r="R79" s="20" t="n"/>
    </row>
    <row r="80">
      <c r="A80" s="19" t="n"/>
      <c r="B80" s="20" t="n"/>
      <c r="C80" s="20" t="n"/>
      <c r="D80" s="21" t="n"/>
      <c r="E80" s="21" t="n"/>
      <c r="F80" s="21" t="n"/>
      <c r="G80" s="20" t="n"/>
      <c r="H80" s="20" t="n"/>
      <c r="I80" s="21" t="n"/>
      <c r="J80" s="20" t="n"/>
      <c r="K80" s="20" t="n"/>
      <c r="L80" s="21" t="n"/>
      <c r="M80" s="21" t="n"/>
      <c r="N80" s="22">
        <f>IF(OR($L80="",$M80=""),"",$M80-($M80*Settings!$B$5)-Settings!$B$6-Settings!$B$7-Settings!$B$8-$L80-Settings!$B$9)</f>
        <v/>
      </c>
      <c r="O80" s="23">
        <f>IF(OR($E80="",$M80="",$M80=0),"",ABS($E80-$M80)/$M80)</f>
        <v/>
      </c>
      <c r="P80" s="23">
        <f>IF(OR($I80="",$M80="",$M80=0),"",ABS($I80-$M80)/$M80)</f>
        <v/>
      </c>
      <c r="Q80" s="24">
        <f>IF(OR($O80="",$P80=""),"",IF($O80&lt;$P80,"Copilot",IF($P80&lt;$O80,"Other","Tie")))</f>
        <v/>
      </c>
      <c r="R80" s="20" t="n"/>
    </row>
    <row r="81">
      <c r="A81" s="19" t="n"/>
      <c r="B81" s="20" t="n"/>
      <c r="C81" s="20" t="n"/>
      <c r="D81" s="21" t="n"/>
      <c r="E81" s="21" t="n"/>
      <c r="F81" s="21" t="n"/>
      <c r="G81" s="20" t="n"/>
      <c r="H81" s="20" t="n"/>
      <c r="I81" s="21" t="n"/>
      <c r="J81" s="20" t="n"/>
      <c r="K81" s="20" t="n"/>
      <c r="L81" s="21" t="n"/>
      <c r="M81" s="21" t="n"/>
      <c r="N81" s="22">
        <f>IF(OR($L81="",$M81=""),"",$M81-($M81*Settings!$B$5)-Settings!$B$6-Settings!$B$7-Settings!$B$8-$L81-Settings!$B$9)</f>
        <v/>
      </c>
      <c r="O81" s="23">
        <f>IF(OR($E81="",$M81="",$M81=0),"",ABS($E81-$M81)/$M81)</f>
        <v/>
      </c>
      <c r="P81" s="23">
        <f>IF(OR($I81="",$M81="",$M81=0),"",ABS($I81-$M81)/$M81)</f>
        <v/>
      </c>
      <c r="Q81" s="24">
        <f>IF(OR($O81="",$P81=""),"",IF($O81&lt;$P81,"Copilot",IF($P81&lt;$O81,"Other","Tie")))</f>
        <v/>
      </c>
      <c r="R81" s="20" t="n"/>
    </row>
    <row r="82">
      <c r="A82" s="19" t="n"/>
      <c r="B82" s="20" t="n"/>
      <c r="C82" s="20" t="n"/>
      <c r="D82" s="21" t="n"/>
      <c r="E82" s="21" t="n"/>
      <c r="F82" s="21" t="n"/>
      <c r="G82" s="20" t="n"/>
      <c r="H82" s="20" t="n"/>
      <c r="I82" s="21" t="n"/>
      <c r="J82" s="20" t="n"/>
      <c r="K82" s="20" t="n"/>
      <c r="L82" s="21" t="n"/>
      <c r="M82" s="21" t="n"/>
      <c r="N82" s="22">
        <f>IF(OR($L82="",$M82=""),"",$M82-($M82*Settings!$B$5)-Settings!$B$6-Settings!$B$7-Settings!$B$8-$L82-Settings!$B$9)</f>
        <v/>
      </c>
      <c r="O82" s="23">
        <f>IF(OR($E82="",$M82="",$M82=0),"",ABS($E82-$M82)/$M82)</f>
        <v/>
      </c>
      <c r="P82" s="23">
        <f>IF(OR($I82="",$M82="",$M82=0),"",ABS($I82-$M82)/$M82)</f>
        <v/>
      </c>
      <c r="Q82" s="24">
        <f>IF(OR($O82="",$P82=""),"",IF($O82&lt;$P82,"Copilot",IF($P82&lt;$O82,"Other","Tie")))</f>
        <v/>
      </c>
      <c r="R82" s="20" t="n"/>
    </row>
    <row r="83">
      <c r="A83" s="19" t="n"/>
      <c r="B83" s="20" t="n"/>
      <c r="C83" s="20" t="n"/>
      <c r="D83" s="21" t="n"/>
      <c r="E83" s="21" t="n"/>
      <c r="F83" s="21" t="n"/>
      <c r="G83" s="20" t="n"/>
      <c r="H83" s="20" t="n"/>
      <c r="I83" s="21" t="n"/>
      <c r="J83" s="20" t="n"/>
      <c r="K83" s="20" t="n"/>
      <c r="L83" s="21" t="n"/>
      <c r="M83" s="21" t="n"/>
      <c r="N83" s="22">
        <f>IF(OR($L83="",$M83=""),"",$M83-($M83*Settings!$B$5)-Settings!$B$6-Settings!$B$7-Settings!$B$8-$L83-Settings!$B$9)</f>
        <v/>
      </c>
      <c r="O83" s="23">
        <f>IF(OR($E83="",$M83="",$M83=0),"",ABS($E83-$M83)/$M83)</f>
        <v/>
      </c>
      <c r="P83" s="23">
        <f>IF(OR($I83="",$M83="",$M83=0),"",ABS($I83-$M83)/$M83)</f>
        <v/>
      </c>
      <c r="Q83" s="24">
        <f>IF(OR($O83="",$P83=""),"",IF($O83&lt;$P83,"Copilot",IF($P83&lt;$O83,"Other","Tie")))</f>
        <v/>
      </c>
      <c r="R83" s="20" t="n"/>
    </row>
    <row r="84">
      <c r="A84" s="19" t="n"/>
      <c r="B84" s="20" t="n"/>
      <c r="C84" s="20" t="n"/>
      <c r="D84" s="21" t="n"/>
      <c r="E84" s="21" t="n"/>
      <c r="F84" s="21" t="n"/>
      <c r="G84" s="20" t="n"/>
      <c r="H84" s="20" t="n"/>
      <c r="I84" s="21" t="n"/>
      <c r="J84" s="20" t="n"/>
      <c r="K84" s="20" t="n"/>
      <c r="L84" s="21" t="n"/>
      <c r="M84" s="21" t="n"/>
      <c r="N84" s="22">
        <f>IF(OR($L84="",$M84=""),"",$M84-($M84*Settings!$B$5)-Settings!$B$6-Settings!$B$7-Settings!$B$8-$L84-Settings!$B$9)</f>
        <v/>
      </c>
      <c r="O84" s="23">
        <f>IF(OR($E84="",$M84="",$M84=0),"",ABS($E84-$M84)/$M84)</f>
        <v/>
      </c>
      <c r="P84" s="23">
        <f>IF(OR($I84="",$M84="",$M84=0),"",ABS($I84-$M84)/$M84)</f>
        <v/>
      </c>
      <c r="Q84" s="24">
        <f>IF(OR($O84="",$P84=""),"",IF($O84&lt;$P84,"Copilot",IF($P84&lt;$O84,"Other","Tie")))</f>
        <v/>
      </c>
      <c r="R84" s="20" t="n"/>
    </row>
    <row r="85">
      <c r="A85" s="19" t="n"/>
      <c r="B85" s="20" t="n"/>
      <c r="C85" s="20" t="n"/>
      <c r="D85" s="21" t="n"/>
      <c r="E85" s="21" t="n"/>
      <c r="F85" s="21" t="n"/>
      <c r="G85" s="20" t="n"/>
      <c r="H85" s="20" t="n"/>
      <c r="I85" s="21" t="n"/>
      <c r="J85" s="20" t="n"/>
      <c r="K85" s="20" t="n"/>
      <c r="L85" s="21" t="n"/>
      <c r="M85" s="21" t="n"/>
      <c r="N85" s="22">
        <f>IF(OR($L85="",$M85=""),"",$M85-($M85*Settings!$B$5)-Settings!$B$6-Settings!$B$7-Settings!$B$8-$L85-Settings!$B$9)</f>
        <v/>
      </c>
      <c r="O85" s="23">
        <f>IF(OR($E85="",$M85="",$M85=0),"",ABS($E85-$M85)/$M85)</f>
        <v/>
      </c>
      <c r="P85" s="23">
        <f>IF(OR($I85="",$M85="",$M85=0),"",ABS($I85-$M85)/$M85)</f>
        <v/>
      </c>
      <c r="Q85" s="24">
        <f>IF(OR($O85="",$P85=""),"",IF($O85&lt;$P85,"Copilot",IF($P85&lt;$O85,"Other","Tie")))</f>
        <v/>
      </c>
      <c r="R85" s="20" t="n"/>
    </row>
    <row r="86">
      <c r="A86" s="19" t="n"/>
      <c r="B86" s="20" t="n"/>
      <c r="C86" s="20" t="n"/>
      <c r="D86" s="21" t="n"/>
      <c r="E86" s="21" t="n"/>
      <c r="F86" s="21" t="n"/>
      <c r="G86" s="20" t="n"/>
      <c r="H86" s="20" t="n"/>
      <c r="I86" s="21" t="n"/>
      <c r="J86" s="20" t="n"/>
      <c r="K86" s="20" t="n"/>
      <c r="L86" s="21" t="n"/>
      <c r="M86" s="21" t="n"/>
      <c r="N86" s="22">
        <f>IF(OR($L86="",$M86=""),"",$M86-($M86*Settings!$B$5)-Settings!$B$6-Settings!$B$7-Settings!$B$8-$L86-Settings!$B$9)</f>
        <v/>
      </c>
      <c r="O86" s="23">
        <f>IF(OR($E86="",$M86="",$M86=0),"",ABS($E86-$M86)/$M86)</f>
        <v/>
      </c>
      <c r="P86" s="23">
        <f>IF(OR($I86="",$M86="",$M86=0),"",ABS($I86-$M86)/$M86)</f>
        <v/>
      </c>
      <c r="Q86" s="24">
        <f>IF(OR($O86="",$P86=""),"",IF($O86&lt;$P86,"Copilot",IF($P86&lt;$O86,"Other","Tie")))</f>
        <v/>
      </c>
      <c r="R86" s="20" t="n"/>
    </row>
    <row r="87">
      <c r="A87" s="19" t="n"/>
      <c r="B87" s="20" t="n"/>
      <c r="C87" s="20" t="n"/>
      <c r="D87" s="21" t="n"/>
      <c r="E87" s="21" t="n"/>
      <c r="F87" s="21" t="n"/>
      <c r="G87" s="20" t="n"/>
      <c r="H87" s="20" t="n"/>
      <c r="I87" s="21" t="n"/>
      <c r="J87" s="20" t="n"/>
      <c r="K87" s="20" t="n"/>
      <c r="L87" s="21" t="n"/>
      <c r="M87" s="21" t="n"/>
      <c r="N87" s="22">
        <f>IF(OR($L87="",$M87=""),"",$M87-($M87*Settings!$B$5)-Settings!$B$6-Settings!$B$7-Settings!$B$8-$L87-Settings!$B$9)</f>
        <v/>
      </c>
      <c r="O87" s="23">
        <f>IF(OR($E87="",$M87="",$M87=0),"",ABS($E87-$M87)/$M87)</f>
        <v/>
      </c>
      <c r="P87" s="23">
        <f>IF(OR($I87="",$M87="",$M87=0),"",ABS($I87-$M87)/$M87)</f>
        <v/>
      </c>
      <c r="Q87" s="24">
        <f>IF(OR($O87="",$P87=""),"",IF($O87&lt;$P87,"Copilot",IF($P87&lt;$O87,"Other","Tie")))</f>
        <v/>
      </c>
      <c r="R87" s="20" t="n"/>
    </row>
    <row r="88">
      <c r="A88" s="19" t="n"/>
      <c r="B88" s="20" t="n"/>
      <c r="C88" s="20" t="n"/>
      <c r="D88" s="21" t="n"/>
      <c r="E88" s="21" t="n"/>
      <c r="F88" s="21" t="n"/>
      <c r="G88" s="20" t="n"/>
      <c r="H88" s="20" t="n"/>
      <c r="I88" s="21" t="n"/>
      <c r="J88" s="20" t="n"/>
      <c r="K88" s="20" t="n"/>
      <c r="L88" s="21" t="n"/>
      <c r="M88" s="21" t="n"/>
      <c r="N88" s="22">
        <f>IF(OR($L88="",$M88=""),"",$M88-($M88*Settings!$B$5)-Settings!$B$6-Settings!$B$7-Settings!$B$8-$L88-Settings!$B$9)</f>
        <v/>
      </c>
      <c r="O88" s="23">
        <f>IF(OR($E88="",$M88="",$M88=0),"",ABS($E88-$M88)/$M88)</f>
        <v/>
      </c>
      <c r="P88" s="23">
        <f>IF(OR($I88="",$M88="",$M88=0),"",ABS($I88-$M88)/$M88)</f>
        <v/>
      </c>
      <c r="Q88" s="24">
        <f>IF(OR($O88="",$P88=""),"",IF($O88&lt;$P88,"Copilot",IF($P88&lt;$O88,"Other","Tie")))</f>
        <v/>
      </c>
      <c r="R88" s="20" t="n"/>
    </row>
    <row r="89">
      <c r="A89" s="19" t="n"/>
      <c r="B89" s="20" t="n"/>
      <c r="C89" s="20" t="n"/>
      <c r="D89" s="21" t="n"/>
      <c r="E89" s="21" t="n"/>
      <c r="F89" s="21" t="n"/>
      <c r="G89" s="20" t="n"/>
      <c r="H89" s="20" t="n"/>
      <c r="I89" s="21" t="n"/>
      <c r="J89" s="20" t="n"/>
      <c r="K89" s="20" t="n"/>
      <c r="L89" s="21" t="n"/>
      <c r="M89" s="21" t="n"/>
      <c r="N89" s="22">
        <f>IF(OR($L89="",$M89=""),"",$M89-($M89*Settings!$B$5)-Settings!$B$6-Settings!$B$7-Settings!$B$8-$L89-Settings!$B$9)</f>
        <v/>
      </c>
      <c r="O89" s="23">
        <f>IF(OR($E89="",$M89="",$M89=0),"",ABS($E89-$M89)/$M89)</f>
        <v/>
      </c>
      <c r="P89" s="23">
        <f>IF(OR($I89="",$M89="",$M89=0),"",ABS($I89-$M89)/$M89)</f>
        <v/>
      </c>
      <c r="Q89" s="24">
        <f>IF(OR($O89="",$P89=""),"",IF($O89&lt;$P89,"Copilot",IF($P89&lt;$O89,"Other","Tie")))</f>
        <v/>
      </c>
      <c r="R89" s="20" t="n"/>
    </row>
    <row r="90">
      <c r="A90" s="19" t="n"/>
      <c r="B90" s="20" t="n"/>
      <c r="C90" s="20" t="n"/>
      <c r="D90" s="21" t="n"/>
      <c r="E90" s="21" t="n"/>
      <c r="F90" s="21" t="n"/>
      <c r="G90" s="20" t="n"/>
      <c r="H90" s="20" t="n"/>
      <c r="I90" s="21" t="n"/>
      <c r="J90" s="20" t="n"/>
      <c r="K90" s="20" t="n"/>
      <c r="L90" s="21" t="n"/>
      <c r="M90" s="21" t="n"/>
      <c r="N90" s="22">
        <f>IF(OR($L90="",$M90=""),"",$M90-($M90*Settings!$B$5)-Settings!$B$6-Settings!$B$7-Settings!$B$8-$L90-Settings!$B$9)</f>
        <v/>
      </c>
      <c r="O90" s="23">
        <f>IF(OR($E90="",$M90="",$M90=0),"",ABS($E90-$M90)/$M90)</f>
        <v/>
      </c>
      <c r="P90" s="23">
        <f>IF(OR($I90="",$M90="",$M90=0),"",ABS($I90-$M90)/$M90)</f>
        <v/>
      </c>
      <c r="Q90" s="24">
        <f>IF(OR($O90="",$P90=""),"",IF($O90&lt;$P90,"Copilot",IF($P90&lt;$O90,"Other","Tie")))</f>
        <v/>
      </c>
      <c r="R90" s="20" t="n"/>
    </row>
    <row r="91">
      <c r="A91" s="19" t="n"/>
      <c r="B91" s="20" t="n"/>
      <c r="C91" s="20" t="n"/>
      <c r="D91" s="21" t="n"/>
      <c r="E91" s="21" t="n"/>
      <c r="F91" s="21" t="n"/>
      <c r="G91" s="20" t="n"/>
      <c r="H91" s="20" t="n"/>
      <c r="I91" s="21" t="n"/>
      <c r="J91" s="20" t="n"/>
      <c r="K91" s="20" t="n"/>
      <c r="L91" s="21" t="n"/>
      <c r="M91" s="21" t="n"/>
      <c r="N91" s="22">
        <f>IF(OR($L91="",$M91=""),"",$M91-($M91*Settings!$B$5)-Settings!$B$6-Settings!$B$7-Settings!$B$8-$L91-Settings!$B$9)</f>
        <v/>
      </c>
      <c r="O91" s="23">
        <f>IF(OR($E91="",$M91="",$M91=0),"",ABS($E91-$M91)/$M91)</f>
        <v/>
      </c>
      <c r="P91" s="23">
        <f>IF(OR($I91="",$M91="",$M91=0),"",ABS($I91-$M91)/$M91)</f>
        <v/>
      </c>
      <c r="Q91" s="24">
        <f>IF(OR($O91="",$P91=""),"",IF($O91&lt;$P91,"Copilot",IF($P91&lt;$O91,"Other","Tie")))</f>
        <v/>
      </c>
      <c r="R91" s="20" t="n"/>
    </row>
    <row r="92">
      <c r="A92" s="19" t="n"/>
      <c r="B92" s="20" t="n"/>
      <c r="C92" s="20" t="n"/>
      <c r="D92" s="21" t="n"/>
      <c r="E92" s="21" t="n"/>
      <c r="F92" s="21" t="n"/>
      <c r="G92" s="20" t="n"/>
      <c r="H92" s="20" t="n"/>
      <c r="I92" s="21" t="n"/>
      <c r="J92" s="20" t="n"/>
      <c r="K92" s="20" t="n"/>
      <c r="L92" s="21" t="n"/>
      <c r="M92" s="21" t="n"/>
      <c r="N92" s="22">
        <f>IF(OR($L92="",$M92=""),"",$M92-($M92*Settings!$B$5)-Settings!$B$6-Settings!$B$7-Settings!$B$8-$L92-Settings!$B$9)</f>
        <v/>
      </c>
      <c r="O92" s="23">
        <f>IF(OR($E92="",$M92="",$M92=0),"",ABS($E92-$M92)/$M92)</f>
        <v/>
      </c>
      <c r="P92" s="23">
        <f>IF(OR($I92="",$M92="",$M92=0),"",ABS($I92-$M92)/$M92)</f>
        <v/>
      </c>
      <c r="Q92" s="24">
        <f>IF(OR($O92="",$P92=""),"",IF($O92&lt;$P92,"Copilot",IF($P92&lt;$O92,"Other","Tie")))</f>
        <v/>
      </c>
      <c r="R92" s="20" t="n"/>
    </row>
    <row r="93">
      <c r="A93" s="19" t="n"/>
      <c r="B93" s="20" t="n"/>
      <c r="C93" s="20" t="n"/>
      <c r="D93" s="21" t="n"/>
      <c r="E93" s="21" t="n"/>
      <c r="F93" s="21" t="n"/>
      <c r="G93" s="20" t="n"/>
      <c r="H93" s="20" t="n"/>
      <c r="I93" s="21" t="n"/>
      <c r="J93" s="20" t="n"/>
      <c r="K93" s="20" t="n"/>
      <c r="L93" s="21" t="n"/>
      <c r="M93" s="21" t="n"/>
      <c r="N93" s="22">
        <f>IF(OR($L93="",$M93=""),"",$M93-($M93*Settings!$B$5)-Settings!$B$6-Settings!$B$7-Settings!$B$8-$L93-Settings!$B$9)</f>
        <v/>
      </c>
      <c r="O93" s="23">
        <f>IF(OR($E93="",$M93="",$M93=0),"",ABS($E93-$M93)/$M93)</f>
        <v/>
      </c>
      <c r="P93" s="23">
        <f>IF(OR($I93="",$M93="",$M93=0),"",ABS($I93-$M93)/$M93)</f>
        <v/>
      </c>
      <c r="Q93" s="24">
        <f>IF(OR($O93="",$P93=""),"",IF($O93&lt;$P93,"Copilot",IF($P93&lt;$O93,"Other","Tie")))</f>
        <v/>
      </c>
      <c r="R93" s="20" t="n"/>
    </row>
    <row r="94">
      <c r="A94" s="19" t="n"/>
      <c r="B94" s="20" t="n"/>
      <c r="C94" s="20" t="n"/>
      <c r="D94" s="21" t="n"/>
      <c r="E94" s="21" t="n"/>
      <c r="F94" s="21" t="n"/>
      <c r="G94" s="20" t="n"/>
      <c r="H94" s="20" t="n"/>
      <c r="I94" s="21" t="n"/>
      <c r="J94" s="20" t="n"/>
      <c r="K94" s="20" t="n"/>
      <c r="L94" s="21" t="n"/>
      <c r="M94" s="21" t="n"/>
      <c r="N94" s="22">
        <f>IF(OR($L94="",$M94=""),"",$M94-($M94*Settings!$B$5)-Settings!$B$6-Settings!$B$7-Settings!$B$8-$L94-Settings!$B$9)</f>
        <v/>
      </c>
      <c r="O94" s="23">
        <f>IF(OR($E94="",$M94="",$M94=0),"",ABS($E94-$M94)/$M94)</f>
        <v/>
      </c>
      <c r="P94" s="23">
        <f>IF(OR($I94="",$M94="",$M94=0),"",ABS($I94-$M94)/$M94)</f>
        <v/>
      </c>
      <c r="Q94" s="24">
        <f>IF(OR($O94="",$P94=""),"",IF($O94&lt;$P94,"Copilot",IF($P94&lt;$O94,"Other","Tie")))</f>
        <v/>
      </c>
      <c r="R94" s="20" t="n"/>
    </row>
    <row r="95">
      <c r="A95" s="19" t="n"/>
      <c r="B95" s="20" t="n"/>
      <c r="C95" s="20" t="n"/>
      <c r="D95" s="21" t="n"/>
      <c r="E95" s="21" t="n"/>
      <c r="F95" s="21" t="n"/>
      <c r="G95" s="20" t="n"/>
      <c r="H95" s="20" t="n"/>
      <c r="I95" s="21" t="n"/>
      <c r="J95" s="20" t="n"/>
      <c r="K95" s="20" t="n"/>
      <c r="L95" s="21" t="n"/>
      <c r="M95" s="21" t="n"/>
      <c r="N95" s="22">
        <f>IF(OR($L95="",$M95=""),"",$M95-($M95*Settings!$B$5)-Settings!$B$6-Settings!$B$7-Settings!$B$8-$L95-Settings!$B$9)</f>
        <v/>
      </c>
      <c r="O95" s="23">
        <f>IF(OR($E95="",$M95="",$M95=0),"",ABS($E95-$M95)/$M95)</f>
        <v/>
      </c>
      <c r="P95" s="23">
        <f>IF(OR($I95="",$M95="",$M95=0),"",ABS($I95-$M95)/$M95)</f>
        <v/>
      </c>
      <c r="Q95" s="24">
        <f>IF(OR($O95="",$P95=""),"",IF($O95&lt;$P95,"Copilot",IF($P95&lt;$O95,"Other","Tie")))</f>
        <v/>
      </c>
      <c r="R95" s="20" t="n"/>
    </row>
    <row r="96">
      <c r="A96" s="19" t="n"/>
      <c r="B96" s="20" t="n"/>
      <c r="C96" s="20" t="n"/>
      <c r="D96" s="21" t="n"/>
      <c r="E96" s="21" t="n"/>
      <c r="F96" s="21" t="n"/>
      <c r="G96" s="20" t="n"/>
      <c r="H96" s="20" t="n"/>
      <c r="I96" s="21" t="n"/>
      <c r="J96" s="20" t="n"/>
      <c r="K96" s="20" t="n"/>
      <c r="L96" s="21" t="n"/>
      <c r="M96" s="21" t="n"/>
      <c r="N96" s="22">
        <f>IF(OR($L96="",$M96=""),"",$M96-($M96*Settings!$B$5)-Settings!$B$6-Settings!$B$7-Settings!$B$8-$L96-Settings!$B$9)</f>
        <v/>
      </c>
      <c r="O96" s="23">
        <f>IF(OR($E96="",$M96="",$M96=0),"",ABS($E96-$M96)/$M96)</f>
        <v/>
      </c>
      <c r="P96" s="23">
        <f>IF(OR($I96="",$M96="",$M96=0),"",ABS($I96-$M96)/$M96)</f>
        <v/>
      </c>
      <c r="Q96" s="24">
        <f>IF(OR($O96="",$P96=""),"",IF($O96&lt;$P96,"Copilot",IF($P96&lt;$O96,"Other","Tie")))</f>
        <v/>
      </c>
      <c r="R96" s="20" t="n"/>
    </row>
    <row r="97">
      <c r="A97" s="19" t="n"/>
      <c r="B97" s="20" t="n"/>
      <c r="C97" s="20" t="n"/>
      <c r="D97" s="21" t="n"/>
      <c r="E97" s="21" t="n"/>
      <c r="F97" s="21" t="n"/>
      <c r="G97" s="20" t="n"/>
      <c r="H97" s="20" t="n"/>
      <c r="I97" s="21" t="n"/>
      <c r="J97" s="20" t="n"/>
      <c r="K97" s="20" t="n"/>
      <c r="L97" s="21" t="n"/>
      <c r="M97" s="21" t="n"/>
      <c r="N97" s="22">
        <f>IF(OR($L97="",$M97=""),"",$M97-($M97*Settings!$B$5)-Settings!$B$6-Settings!$B$7-Settings!$B$8-$L97-Settings!$B$9)</f>
        <v/>
      </c>
      <c r="O97" s="23">
        <f>IF(OR($E97="",$M97="",$M97=0),"",ABS($E97-$M97)/$M97)</f>
        <v/>
      </c>
      <c r="P97" s="23">
        <f>IF(OR($I97="",$M97="",$M97=0),"",ABS($I97-$M97)/$M97)</f>
        <v/>
      </c>
      <c r="Q97" s="24">
        <f>IF(OR($O97="",$P97=""),"",IF($O97&lt;$P97,"Copilot",IF($P97&lt;$O97,"Other","Tie")))</f>
        <v/>
      </c>
      <c r="R97" s="20" t="n"/>
    </row>
    <row r="98">
      <c r="A98" s="19" t="n"/>
      <c r="B98" s="20" t="n"/>
      <c r="C98" s="20" t="n"/>
      <c r="D98" s="21" t="n"/>
      <c r="E98" s="21" t="n"/>
      <c r="F98" s="21" t="n"/>
      <c r="G98" s="20" t="n"/>
      <c r="H98" s="20" t="n"/>
      <c r="I98" s="21" t="n"/>
      <c r="J98" s="20" t="n"/>
      <c r="K98" s="20" t="n"/>
      <c r="L98" s="21" t="n"/>
      <c r="M98" s="21" t="n"/>
      <c r="N98" s="22">
        <f>IF(OR($L98="",$M98=""),"",$M98-($M98*Settings!$B$5)-Settings!$B$6-Settings!$B$7-Settings!$B$8-$L98-Settings!$B$9)</f>
        <v/>
      </c>
      <c r="O98" s="23">
        <f>IF(OR($E98="",$M98="",$M98=0),"",ABS($E98-$M98)/$M98)</f>
        <v/>
      </c>
      <c r="P98" s="23">
        <f>IF(OR($I98="",$M98="",$M98=0),"",ABS($I98-$M98)/$M98)</f>
        <v/>
      </c>
      <c r="Q98" s="24">
        <f>IF(OR($O98="",$P98=""),"",IF($O98&lt;$P98,"Copilot",IF($P98&lt;$O98,"Other","Tie")))</f>
        <v/>
      </c>
      <c r="R98" s="20" t="n"/>
    </row>
    <row r="99">
      <c r="A99" s="19" t="n"/>
      <c r="B99" s="20" t="n"/>
      <c r="C99" s="20" t="n"/>
      <c r="D99" s="21" t="n"/>
      <c r="E99" s="21" t="n"/>
      <c r="F99" s="21" t="n"/>
      <c r="G99" s="20" t="n"/>
      <c r="H99" s="20" t="n"/>
      <c r="I99" s="21" t="n"/>
      <c r="J99" s="20" t="n"/>
      <c r="K99" s="20" t="n"/>
      <c r="L99" s="21" t="n"/>
      <c r="M99" s="21" t="n"/>
      <c r="N99" s="22">
        <f>IF(OR($L99="",$M99=""),"",$M99-($M99*Settings!$B$5)-Settings!$B$6-Settings!$B$7-Settings!$B$8-$L99-Settings!$B$9)</f>
        <v/>
      </c>
      <c r="O99" s="23">
        <f>IF(OR($E99="",$M99="",$M99=0),"",ABS($E99-$M99)/$M99)</f>
        <v/>
      </c>
      <c r="P99" s="23">
        <f>IF(OR($I99="",$M99="",$M99=0),"",ABS($I99-$M99)/$M99)</f>
        <v/>
      </c>
      <c r="Q99" s="24">
        <f>IF(OR($O99="",$P99=""),"",IF($O99&lt;$P99,"Copilot",IF($P99&lt;$O99,"Other","Tie")))</f>
        <v/>
      </c>
      <c r="R99" s="20" t="n"/>
    </row>
    <row r="100">
      <c r="A100" s="19" t="n"/>
      <c r="B100" s="20" t="n"/>
      <c r="C100" s="20" t="n"/>
      <c r="D100" s="21" t="n"/>
      <c r="E100" s="21" t="n"/>
      <c r="F100" s="21" t="n"/>
      <c r="G100" s="20" t="n"/>
      <c r="H100" s="20" t="n"/>
      <c r="I100" s="21" t="n"/>
      <c r="J100" s="20" t="n"/>
      <c r="K100" s="20" t="n"/>
      <c r="L100" s="21" t="n"/>
      <c r="M100" s="21" t="n"/>
      <c r="N100" s="22">
        <f>IF(OR($L100="",$M100=""),"",$M100-($M100*Settings!$B$5)-Settings!$B$6-Settings!$B$7-Settings!$B$8-$L100-Settings!$B$9)</f>
        <v/>
      </c>
      <c r="O100" s="23">
        <f>IF(OR($E100="",$M100="",$M100=0),"",ABS($E100-$M100)/$M100)</f>
        <v/>
      </c>
      <c r="P100" s="23">
        <f>IF(OR($I100="",$M100="",$M100=0),"",ABS($I100-$M100)/$M100)</f>
        <v/>
      </c>
      <c r="Q100" s="24">
        <f>IF(OR($O100="",$P100=""),"",IF($O100&lt;$P100,"Copilot",IF($P100&lt;$O100,"Other","Tie")))</f>
        <v/>
      </c>
      <c r="R100" s="20" t="n"/>
    </row>
    <row r="101">
      <c r="A101" s="19" t="n"/>
      <c r="B101" s="20" t="n"/>
      <c r="C101" s="20" t="n"/>
      <c r="D101" s="21" t="n"/>
      <c r="E101" s="21" t="n"/>
      <c r="F101" s="21" t="n"/>
      <c r="G101" s="20" t="n"/>
      <c r="H101" s="20" t="n"/>
      <c r="I101" s="21" t="n"/>
      <c r="J101" s="20" t="n"/>
      <c r="K101" s="20" t="n"/>
      <c r="L101" s="21" t="n"/>
      <c r="M101" s="21" t="n"/>
      <c r="N101" s="22">
        <f>IF(OR($L101="",$M101=""),"",$M101-($M101*Settings!$B$5)-Settings!$B$6-Settings!$B$7-Settings!$B$8-$L101-Settings!$B$9)</f>
        <v/>
      </c>
      <c r="O101" s="23">
        <f>IF(OR($E101="",$M101="",$M101=0),"",ABS($E101-$M101)/$M101)</f>
        <v/>
      </c>
      <c r="P101" s="23">
        <f>IF(OR($I101="",$M101="",$M101=0),"",ABS($I101-$M101)/$M101)</f>
        <v/>
      </c>
      <c r="Q101" s="24">
        <f>IF(OR($O101="",$P101=""),"",IF($O101&lt;$P101,"Copilot",IF($P101&lt;$O101,"Other","Tie")))</f>
        <v/>
      </c>
      <c r="R101" s="20" t="n"/>
    </row>
    <row r="102">
      <c r="A102" s="19" t="n"/>
      <c r="B102" s="20" t="n"/>
      <c r="C102" s="20" t="n"/>
      <c r="D102" s="21" t="n"/>
      <c r="E102" s="21" t="n"/>
      <c r="F102" s="21" t="n"/>
      <c r="G102" s="20" t="n"/>
      <c r="H102" s="20" t="n"/>
      <c r="I102" s="21" t="n"/>
      <c r="J102" s="20" t="n"/>
      <c r="K102" s="20" t="n"/>
      <c r="L102" s="21" t="n"/>
      <c r="M102" s="21" t="n"/>
      <c r="N102" s="22">
        <f>IF(OR($L102="",$M102=""),"",$M102-($M102*Settings!$B$5)-Settings!$B$6-Settings!$B$7-Settings!$B$8-$L102-Settings!$B$9)</f>
        <v/>
      </c>
      <c r="O102" s="23">
        <f>IF(OR($E102="",$M102="",$M102=0),"",ABS($E102-$M102)/$M102)</f>
        <v/>
      </c>
      <c r="P102" s="23">
        <f>IF(OR($I102="",$M102="",$M102=0),"",ABS($I102-$M102)/$M102)</f>
        <v/>
      </c>
      <c r="Q102" s="24">
        <f>IF(OR($O102="",$P102=""),"",IF($O102&lt;$P102,"Copilot",IF($P102&lt;$O102,"Other","Tie")))</f>
        <v/>
      </c>
      <c r="R102" s="20" t="n"/>
    </row>
    <row r="103">
      <c r="A103" s="19" t="n"/>
      <c r="B103" s="20" t="n"/>
      <c r="C103" s="20" t="n"/>
      <c r="D103" s="21" t="n"/>
      <c r="E103" s="21" t="n"/>
      <c r="F103" s="21" t="n"/>
      <c r="G103" s="20" t="n"/>
      <c r="H103" s="20" t="n"/>
      <c r="I103" s="21" t="n"/>
      <c r="J103" s="20" t="n"/>
      <c r="K103" s="20" t="n"/>
      <c r="L103" s="21" t="n"/>
      <c r="M103" s="21" t="n"/>
      <c r="N103" s="22">
        <f>IF(OR($L103="",$M103=""),"",$M103-($M103*Settings!$B$5)-Settings!$B$6-Settings!$B$7-Settings!$B$8-$L103-Settings!$B$9)</f>
        <v/>
      </c>
      <c r="O103" s="23">
        <f>IF(OR($E103="",$M103="",$M103=0),"",ABS($E103-$M103)/$M103)</f>
        <v/>
      </c>
      <c r="P103" s="23">
        <f>IF(OR($I103="",$M103="",$M103=0),"",ABS($I103-$M103)/$M103)</f>
        <v/>
      </c>
      <c r="Q103" s="24">
        <f>IF(OR($O103="",$P103=""),"",IF($O103&lt;$P103,"Copilot",IF($P103&lt;$O103,"Other","Tie")))</f>
        <v/>
      </c>
      <c r="R103" s="20" t="n"/>
    </row>
    <row r="104">
      <c r="A104" s="19" t="n"/>
      <c r="B104" s="20" t="n"/>
      <c r="C104" s="20" t="n"/>
      <c r="D104" s="21" t="n"/>
      <c r="E104" s="21" t="n"/>
      <c r="F104" s="21" t="n"/>
      <c r="G104" s="20" t="n"/>
      <c r="H104" s="20" t="n"/>
      <c r="I104" s="21" t="n"/>
      <c r="J104" s="20" t="n"/>
      <c r="K104" s="20" t="n"/>
      <c r="L104" s="21" t="n"/>
      <c r="M104" s="21" t="n"/>
      <c r="N104" s="22">
        <f>IF(OR($L104="",$M104=""),"",$M104-($M104*Settings!$B$5)-Settings!$B$6-Settings!$B$7-Settings!$B$8-$L104-Settings!$B$9)</f>
        <v/>
      </c>
      <c r="O104" s="23">
        <f>IF(OR($E104="",$M104="",$M104=0),"",ABS($E104-$M104)/$M104)</f>
        <v/>
      </c>
      <c r="P104" s="23">
        <f>IF(OR($I104="",$M104="",$M104=0),"",ABS($I104-$M104)/$M104)</f>
        <v/>
      </c>
      <c r="Q104" s="24">
        <f>IF(OR($O104="",$P104=""),"",IF($O104&lt;$P104,"Copilot",IF($P104&lt;$O104,"Other","Tie")))</f>
        <v/>
      </c>
      <c r="R104" s="2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4" t="inlineStr">
        <is>
          <t>Scorecard</t>
        </is>
      </c>
    </row>
    <row r="2">
      <c r="A2" s="5" t="inlineStr">
        <is>
          <t>All computed from the Log tab. Nothing to fill in here.</t>
        </is>
      </c>
    </row>
    <row r="4">
      <c r="A4" s="25" t="inlineStr">
        <is>
          <t>Activity</t>
        </is>
      </c>
      <c r="B4" s="26" t="n"/>
    </row>
    <row r="5">
      <c r="A5" s="27" t="inlineStr">
        <is>
          <t>Listings appraised</t>
        </is>
      </c>
      <c r="B5" s="28">
        <f>COUNTA('Bake-off Log'!$B$5:$B$104)</f>
        <v/>
      </c>
    </row>
    <row r="6">
      <c r="A6" s="27" t="inlineStr">
        <is>
          <t>Items bought</t>
        </is>
      </c>
      <c r="B6" s="28">
        <f>COUNTIF('Bake-off Log'!$K$5:$K$104,"Y")</f>
        <v/>
      </c>
    </row>
    <row r="7">
      <c r="A7" s="27" t="inlineStr">
        <is>
          <t>Items sold (scored)</t>
        </is>
      </c>
      <c r="B7" s="28">
        <f>COUNT('Bake-off Log'!$M$5:$M$104)</f>
        <v/>
      </c>
    </row>
    <row r="9">
      <c r="A9" s="25" t="inlineStr">
        <is>
          <t>Accuracy — lower is better</t>
        </is>
      </c>
      <c r="B9" s="26" t="n"/>
    </row>
    <row r="10">
      <c r="A10" s="27" t="inlineStr">
        <is>
          <t>Copilot average error</t>
        </is>
      </c>
      <c r="B10" s="29">
        <f>IFERROR(AVERAGE('Bake-off Log'!$O$5:$O$104),"no data yet")</f>
        <v/>
      </c>
    </row>
    <row r="11">
      <c r="A11" s="27" t="inlineStr">
        <is>
          <t>Other tool average error</t>
        </is>
      </c>
      <c r="B11" s="29">
        <f>IFERROR(AVERAGE('Bake-off Log'!$P$5:$P$104),"no data yet")</f>
        <v/>
      </c>
    </row>
    <row r="12">
      <c r="A12" s="27" t="inlineStr">
        <is>
          <t>Copilot worst miss</t>
        </is>
      </c>
      <c r="B12" s="29">
        <f>IFERROR(MAX('Bake-off Log'!$O$5:$O$104),"no data yet")</f>
        <v/>
      </c>
    </row>
    <row r="13">
      <c r="A13" s="27" t="inlineStr">
        <is>
          <t>Other tool worst miss</t>
        </is>
      </c>
      <c r="B13" s="29">
        <f>IFERROR(MAX('Bake-off Log'!$P$5:$P$104),"no data yet")</f>
        <v/>
      </c>
    </row>
    <row r="15">
      <c r="A15" s="25" t="inlineStr">
        <is>
          <t>Head to head</t>
        </is>
      </c>
      <c r="B15" s="26" t="n"/>
    </row>
    <row r="16">
      <c r="A16" s="27" t="inlineStr">
        <is>
          <t>Copilot closer</t>
        </is>
      </c>
      <c r="B16" s="28">
        <f>COUNTIF('Bake-off Log'!$Q$5:$Q$104,"Copilot")</f>
        <v/>
      </c>
    </row>
    <row r="17">
      <c r="A17" s="27" t="inlineStr">
        <is>
          <t>Other tool closer</t>
        </is>
      </c>
      <c r="B17" s="28">
        <f>COUNTIF('Bake-off Log'!$Q$5:$Q$104,"Other")</f>
        <v/>
      </c>
    </row>
    <row r="18">
      <c r="A18" s="27" t="inlineStr">
        <is>
          <t>Tied</t>
        </is>
      </c>
      <c r="B18" s="28">
        <f>COUNTIF('Bake-off Log'!$Q$5:$Q$104,"Tie")</f>
        <v/>
      </c>
    </row>
    <row r="20">
      <c r="A20" s="25" t="inlineStr">
        <is>
          <t>Money</t>
        </is>
      </c>
      <c r="B20" s="26" t="n"/>
    </row>
    <row r="21">
      <c r="A21" s="27" t="inlineStr">
        <is>
          <t>Total actual profit</t>
        </is>
      </c>
      <c r="B21" s="30">
        <f>IFERROR(SUM('Bake-off Log'!$N$5:$N$104),0)</f>
        <v/>
      </c>
    </row>
    <row r="22">
      <c r="A22" s="27" t="inlineStr">
        <is>
          <t>Average profit per flip</t>
        </is>
      </c>
      <c r="B22" s="30">
        <f>IFERROR(AVERAGE('Bake-off Log'!$N$5:$N$104),"no data yet")</f>
        <v/>
      </c>
    </row>
    <row r="23">
      <c r="A23" s="27" t="inlineStr">
        <is>
          <t>Times Copilot said PASS</t>
        </is>
      </c>
      <c r="B23" s="28">
        <f>COUNTIF('Bake-off Log'!$G$5:$G$104,"pass")</f>
        <v/>
      </c>
    </row>
    <row r="24">
      <c r="A24" s="27" t="inlineStr">
        <is>
          <t>Times Copilot said STRONG</t>
        </is>
      </c>
      <c r="B24" s="28">
        <f>COUNTIF('Bake-off Log'!$G$5:$G$104,"strong")</f>
        <v/>
      </c>
    </row>
    <row r="26">
      <c r="A26" s="31" t="inlineStr">
        <is>
          <t>The number that matters is average error. A tool that says an item is worth $900 when it sells for $600 will talk you into bad buys, however confident it sounds.</t>
        </is>
      </c>
    </row>
    <row r="28">
      <c r="A28" s="31" t="inlineStr">
        <is>
          <t>Ten sold items is enough to see a real gap. Fewer than five tells you nothing — one weird item swings the average.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2026-08-16T20:21:25Z</dcterms:created>
  <dcterms:modified xsi:type="dcterms:W3CDTF">2026-08-16T20:36:57Z</dcterms:modified>
</cp:coreProperties>
</file>